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3776" tabRatio="600" firstSheet="0" activeTab="0" autoFilterDateGrouping="1"/>
  </bookViews>
  <sheets>
    <sheet xmlns:r="http://schemas.openxmlformats.org/officeDocument/2006/relationships" name="Présences" sheetId="1" state="visible" r:id="rId1"/>
    <sheet xmlns:r="http://schemas.openxmlformats.org/officeDocument/2006/relationships" name="Appels" sheetId="2" state="visible" r:id="rId2"/>
    <sheet xmlns:r="http://schemas.openxmlformats.org/officeDocument/2006/relationships" name="Corresponda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rlito"/>
      <sz val="11"/>
    </font>
    <font>
      <name val="Arial"/>
      <color rgb="FF243247"/>
      <sz val="11"/>
    </font>
    <font>
      <name val="Arial"/>
      <b val="1"/>
      <color rgb="FF17365D"/>
      <sz val="16"/>
    </font>
    <font>
      <name val="Arial"/>
      <b val="1"/>
      <color rgb="FFFFFFFF"/>
      <sz val="11"/>
    </font>
    <font>
      <name val="Arial"/>
      <b val="1"/>
      <color rgb="FF243247"/>
      <sz val="11"/>
    </font>
    <font>
      <name val="Carlito"/>
      <b val="1"/>
      <color rgb="FFFFFFFF"/>
      <sz val="11"/>
    </font>
    <font>
      <name val="Arial"/>
      <family val="2"/>
      <b val="1"/>
      <color rgb="FF243247"/>
      <sz val="18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9EEF5"/>
      </patternFill>
    </fill>
    <fill>
      <patternFill patternType="solid">
        <fgColor rgb="FFE9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3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1" fontId="4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/>
  </cellStyles>
  <dxfs count="8">
    <dxf>
      <font>
        <color rgb="FF718096"/>
      </font>
      <fill>
        <patternFill>
          <bgColor rgb="FFF0F2F5"/>
        </patternFill>
      </fill>
    </dxf>
    <dxf>
      <font>
        <color rgb="FFA02B21"/>
      </font>
      <fill>
        <patternFill>
          <bgColor rgb="FFFCE0DB"/>
        </patternFill>
      </fill>
    </dxf>
    <dxf>
      <font>
        <color rgb="FF805900"/>
      </font>
      <fill>
        <patternFill>
          <bgColor rgb="FFFFF0CE"/>
        </patternFill>
      </fill>
    </dxf>
    <dxf>
      <font>
        <color rgb="FF24613C"/>
      </font>
      <fill>
        <patternFill>
          <bgColor rgb="FFE4F2E8"/>
        </patternFill>
      </fill>
    </dxf>
    <dxf>
      <font>
        <color rgb="FF718096"/>
      </font>
      <fill>
        <patternFill>
          <bgColor rgb="FFF0F2F5"/>
        </patternFill>
      </fill>
    </dxf>
    <dxf>
      <font>
        <color rgb="FFA02B21"/>
      </font>
      <fill>
        <patternFill>
          <bgColor rgb="FFFCE0DB"/>
        </patternFill>
      </fill>
    </dxf>
    <dxf>
      <font>
        <color rgb="FF805900"/>
      </font>
      <fill>
        <patternFill>
          <bgColor rgb="FFFFF0CE"/>
        </patternFill>
      </fill>
    </dxf>
    <dxf>
      <font>
        <color rgb="FF24613C"/>
      </font>
      <fill>
        <patternFill>
          <bgColor rgb="FFE4F2E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1:O39"/>
  <sheetViews>
    <sheetView showGridLines="0" tabSelected="1" workbookViewId="0">
      <pane xSplit="2" ySplit="6" topLeftCell="I7" activePane="bottomRight" state="frozen"/>
      <selection pane="topRight" activeCell="A1" sqref="A1"/>
      <selection pane="bottomLeft" activeCell="A1" sqref="A1"/>
      <selection pane="bottomRight" activeCell="M6" sqref="M6"/>
    </sheetView>
  </sheetViews>
  <sheetFormatPr baseColWidth="8" defaultRowHeight="13.8"/>
  <cols>
    <col width="14" customWidth="1" min="1" max="1"/>
    <col hidden="1" width="66.8984375" customWidth="1" min="2" max="2"/>
    <col width="13.796875" customWidth="1" min="3" max="3"/>
    <col width="14.8984375" customWidth="1" min="4" max="4"/>
    <col width="15" customWidth="1" min="5" max="11"/>
    <col width="13" customWidth="1" min="12" max="13"/>
    <col width="13" customWidth="1" min="13" max="13"/>
    <col width="12" customWidth="1" min="14" max="14"/>
    <col width="13" customWidth="1" min="15" max="15"/>
  </cols>
  <sheetData>
    <row r="1" ht="24" customHeight="1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</row>
    <row r="2" ht="30" customHeight="1">
      <c r="A2" s="2" t="inlineStr">
        <is>
          <t>Présences des auditeurs – Algèbre Linéaire avec Python (NumPy) – M. Baba KOUROUMA – Septembre 2026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24" customHeight="1">
      <c r="A3" s="14" t="inlineStr">
        <is>
          <t>P : identifié • P* : nom court unique dans la liste, rapprochement probable • ? : à confirmer • NV : non visible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24" customHeight="1">
      <c r="A4" s="14" t="inlineStr">
        <is>
          <t>Une présence dans au moins un appel suffit pour le jour. NV ne prouve pas une absence au cours.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 ht="24" customHeight="1">
      <c r="A5" s="11" t="inlineStr">
        <is>
          <t>Nbre Heures</t>
        </is>
      </c>
      <c r="B5" s="13">
        <f>SUM(C5:M5)</f>
        <v/>
      </c>
      <c r="C5" s="11" t="n">
        <v>2</v>
      </c>
      <c r="D5" s="11" t="n">
        <v>4</v>
      </c>
      <c r="E5" s="12" t="n">
        <v>2</v>
      </c>
      <c r="F5" s="12" t="n">
        <v>2</v>
      </c>
      <c r="G5" s="12" t="n">
        <v>2</v>
      </c>
      <c r="H5" s="12" t="n">
        <v>4</v>
      </c>
      <c r="I5" s="12" t="n">
        <v>2</v>
      </c>
      <c r="J5" s="12" t="n">
        <v>2</v>
      </c>
      <c r="K5" s="12" t="n">
        <v>4</v>
      </c>
      <c r="L5" s="12" t="n">
        <v>2</v>
      </c>
      <c r="M5" s="12" t="n">
        <v>2</v>
      </c>
    </row>
    <row r="6" ht="36" customHeight="1">
      <c r="A6" s="15" t="inlineStr">
        <is>
          <t>Matricule</t>
        </is>
      </c>
      <c r="B6" s="15" t="inlineStr">
        <is>
          <t>Nom et prénom</t>
        </is>
      </c>
      <c r="C6" s="5" t="n">
        <v>46266</v>
      </c>
      <c r="D6" s="5" t="n">
        <v>46270</v>
      </c>
      <c r="E6" s="5" t="n">
        <v>46272</v>
      </c>
      <c r="F6" s="5" t="n">
        <v>46273</v>
      </c>
      <c r="G6" s="5" t="n">
        <v>46276</v>
      </c>
      <c r="H6" s="5" t="n">
        <v>46277</v>
      </c>
      <c r="I6" s="5" t="n">
        <v>46279</v>
      </c>
      <c r="J6" s="5" t="n">
        <v>46280</v>
      </c>
      <c r="K6" s="5" t="n">
        <v>46284</v>
      </c>
      <c r="L6" s="5" t="n">
        <v>46286</v>
      </c>
      <c r="M6" s="5" t="n">
        <v>46287</v>
      </c>
      <c r="N6" s="15" t="inlineStr">
        <is>
          <t>Jours P</t>
        </is>
      </c>
      <c r="O6" s="15" t="inlineStr">
        <is>
          <t>Jours P*</t>
        </is>
      </c>
    </row>
    <row r="7" ht="24" customHeight="1">
      <c r="A7" s="14" t="inlineStr">
        <is>
          <t>33021</t>
        </is>
      </c>
      <c r="B7" s="14" t="inlineStr">
        <is>
          <t>AGBATO KARL VIANNEY EMMANUEL</t>
        </is>
      </c>
      <c r="C7" s="14" t="n"/>
      <c r="D7" s="14" t="n"/>
      <c r="E7" s="6">
        <f>IF(COUNTIFS(Appels!C8:C8,"P")&gt;0,"P",IF(SUMPRODUCT((Appels!C8:C8="P*")*1)&gt;0,"P*",IF(SUMPRODUCT((Appels!C8:C8="?")*1)&gt;0,"?","NV")))</f>
        <v/>
      </c>
      <c r="F7" s="6">
        <f>IF(COUNTIFS(Appels!D8:E8,"P")&gt;0,"P",IF(SUMPRODUCT((Appels!D8:E8="P*")*1)&gt;0,"P*",IF(SUMPRODUCT((Appels!D8:E8="?")*1)&gt;0,"?","NV")))</f>
        <v/>
      </c>
      <c r="G7" s="6">
        <f>IF(COUNTIFS(Appels!F8:F8,"P")&gt;0,"P",IF(SUMPRODUCT((Appels!F8:F8="P*")*1)&gt;0,"P*",IF(SUMPRODUCT((Appels!F8:F8="?")*1)&gt;0,"?","NV")))</f>
        <v/>
      </c>
      <c r="H7" s="6">
        <f>IF(COUNTIFS(Appels!G8:H8,"P")&gt;0,"P",IF(SUMPRODUCT((Appels!G8:H8="P*")*1)&gt;0,"P*",IF(SUMPRODUCT((Appels!G8:H8="?")*1)&gt;0,"?","NV")))</f>
        <v/>
      </c>
      <c r="I7" s="6">
        <f>IF(COUNTIFS(Appels!I8:J8,"P")&gt;0,"P",IF(SUMPRODUCT((Appels!I8:J8="P*")*1)&gt;0,"P*",IF(SUMPRODUCT((Appels!I8:J8="?")*1)&gt;0,"?","NV")))</f>
        <v/>
      </c>
      <c r="J7" s="6">
        <f>IF(COUNTIFS(Appels!K8:M8,"P")&gt;0,"P",IF(SUMPRODUCT((Appels!K8:M8="P*")*1)&gt;0,"P*",IF(SUMPRODUCT((Appels!K8:M8="?")*1)&gt;0,"?","NV")))</f>
        <v/>
      </c>
      <c r="K7" s="6">
        <f>IF(COUNTIFS(Appels!N8:O8,"P")&gt;0,"P",IF(SUMPRODUCT((Appels!N8:O8="P*")*1)&gt;0,"P*",IF(SUMPRODUCT((Appels!N8:O8="?")*1)&gt;0,"?","NV")))</f>
        <v/>
      </c>
      <c r="L7" s="6">
        <f>IF(COUNTIFS(Appels!P8:P8,"P")&gt;0,"P",IF(SUMPRODUCT((Appels!P8:P8="P*")*1)&gt;0,"P*",IF(SUMPRODUCT((Appels!P8:P8="?")*1)&gt;0,"?","NV")))</f>
        <v/>
      </c>
      <c r="M7" s="6">
        <f>IF(COUNTIFS(Appels!Q8:Q8,"P")&gt;0,"P",IF(SUMPRODUCT((Appels!Q8:Q8="P*")*1)&gt;0,"P*",IF(SUMPRODUCT((Appels!Q8:Q8="?")*1)&gt;0,"?","NV")))</f>
        <v/>
      </c>
      <c r="N7" s="6">
        <f>COUNTIFS(E7:M7,"P")</f>
        <v/>
      </c>
      <c r="O7" s="6">
        <f>SUMPRODUCT((E7:M7="P*")*1)</f>
        <v/>
      </c>
    </row>
    <row r="8" ht="24" customHeight="1">
      <c r="A8" s="14" t="inlineStr">
        <is>
          <t>32260</t>
        </is>
      </c>
      <c r="B8" s="14" t="inlineStr">
        <is>
          <t>AKA AHOU GERVAISE NAOMI</t>
        </is>
      </c>
      <c r="C8" s="14" t="n"/>
      <c r="D8" s="14" t="n"/>
      <c r="E8" s="6">
        <f>IF(COUNTIFS(Appels!C9:C9,"P")&gt;0,"P",IF(SUMPRODUCT((Appels!C9:C9="P*")*1)&gt;0,"P*",IF(SUMPRODUCT((Appels!C9:C9="?")*1)&gt;0,"?","NV")))</f>
        <v/>
      </c>
      <c r="F8" s="6">
        <f>IF(COUNTIFS(Appels!D9:E9,"P")&gt;0,"P",IF(SUMPRODUCT((Appels!D9:E9="P*")*1)&gt;0,"P*",IF(SUMPRODUCT((Appels!D9:E9="?")*1)&gt;0,"?","NV")))</f>
        <v/>
      </c>
      <c r="G8" s="6">
        <f>IF(COUNTIFS(Appels!F9:F9,"P")&gt;0,"P",IF(SUMPRODUCT((Appels!F9:F9="P*")*1)&gt;0,"P*",IF(SUMPRODUCT((Appels!F9:F9="?")*1)&gt;0,"?","NV")))</f>
        <v/>
      </c>
      <c r="H8" s="6">
        <f>IF(COUNTIFS(Appels!G9:H9,"P")&gt;0,"P",IF(SUMPRODUCT((Appels!G9:H9="P*")*1)&gt;0,"P*",IF(SUMPRODUCT((Appels!G9:H9="?")*1)&gt;0,"?","NV")))</f>
        <v/>
      </c>
      <c r="I8" s="6">
        <f>IF(COUNTIFS(Appels!I9:J9,"P")&gt;0,"P",IF(SUMPRODUCT((Appels!I9:J9="P*")*1)&gt;0,"P*",IF(SUMPRODUCT((Appels!I9:J9="?")*1)&gt;0,"?","NV")))</f>
        <v/>
      </c>
      <c r="J8" s="6">
        <f>IF(COUNTIFS(Appels!K9:M9,"P")&gt;0,"P",IF(SUMPRODUCT((Appels!K9:M9="P*")*1)&gt;0,"P*",IF(SUMPRODUCT((Appels!K9:M9="?")*1)&gt;0,"?","NV")))</f>
        <v/>
      </c>
      <c r="K8" s="6">
        <f>IF(COUNTIFS(Appels!N9:O9,"P")&gt;0,"P",IF(SUMPRODUCT((Appels!N9:O9="P*")*1)&gt;0,"P*",IF(SUMPRODUCT((Appels!N9:O9="?")*1)&gt;0,"?","NV")))</f>
        <v/>
      </c>
      <c r="L8" s="6">
        <f>IF(COUNTIFS(Appels!P9:P9,"P")&gt;0,"P",IF(SUMPRODUCT((Appels!P9:P9="P*")*1)&gt;0,"P*",IF(SUMPRODUCT((Appels!P9:P9="?")*1)&gt;0,"?","NV")))</f>
        <v/>
      </c>
      <c r="M8" s="6">
        <f>IF(COUNTIFS(Appels!Q9:Q9,"P")&gt;0,"P",IF(SUMPRODUCT((Appels!Q9:Q9="P*")*1)&gt;0,"P*",IF(SUMPRODUCT((Appels!Q9:Q9="?")*1)&gt;0,"?","NV")))</f>
        <v/>
      </c>
      <c r="N8" s="6">
        <f>COUNTIFS(E8:M8,"P")</f>
        <v/>
      </c>
      <c r="O8" s="6">
        <f>SUMPRODUCT((E8:M8="P*")*1)</f>
        <v/>
      </c>
    </row>
    <row r="9" ht="24" customHeight="1">
      <c r="A9" s="14" t="inlineStr">
        <is>
          <t>33055</t>
        </is>
      </c>
      <c r="B9" s="14" t="inlineStr">
        <is>
          <t>BAKARE MARIAM</t>
        </is>
      </c>
      <c r="C9" s="14" t="n"/>
      <c r="D9" s="14" t="n"/>
      <c r="E9" s="6">
        <f>IF(COUNTIFS(Appels!C10:C10,"P")&gt;0,"P",IF(SUMPRODUCT((Appels!C10:C10="P*")*1)&gt;0,"P*",IF(SUMPRODUCT((Appels!C10:C10="?")*1)&gt;0,"?","NV")))</f>
        <v/>
      </c>
      <c r="F9" s="6">
        <f>IF(COUNTIFS(Appels!D10:E10,"P")&gt;0,"P",IF(SUMPRODUCT((Appels!D10:E10="P*")*1)&gt;0,"P*",IF(SUMPRODUCT((Appels!D10:E10="?")*1)&gt;0,"?","NV")))</f>
        <v/>
      </c>
      <c r="G9" s="6">
        <f>IF(COUNTIFS(Appels!F10:F10,"P")&gt;0,"P",IF(SUMPRODUCT((Appels!F10:F10="P*")*1)&gt;0,"P*",IF(SUMPRODUCT((Appels!F10:F10="?")*1)&gt;0,"?","NV")))</f>
        <v/>
      </c>
      <c r="H9" s="6">
        <f>IF(COUNTIFS(Appels!G10:H10,"P")&gt;0,"P",IF(SUMPRODUCT((Appels!G10:H10="P*")*1)&gt;0,"P*",IF(SUMPRODUCT((Appels!G10:H10="?")*1)&gt;0,"?","NV")))</f>
        <v/>
      </c>
      <c r="I9" s="6">
        <f>IF(COUNTIFS(Appels!I10:J10,"P")&gt;0,"P",IF(SUMPRODUCT((Appels!I10:J10="P*")*1)&gt;0,"P*",IF(SUMPRODUCT((Appels!I10:J10="?")*1)&gt;0,"?","NV")))</f>
        <v/>
      </c>
      <c r="J9" s="6">
        <f>IF(COUNTIFS(Appels!K10:M10,"P")&gt;0,"P",IF(SUMPRODUCT((Appels!K10:M10="P*")*1)&gt;0,"P*",IF(SUMPRODUCT((Appels!K10:M10="?")*1)&gt;0,"?","NV")))</f>
        <v/>
      </c>
      <c r="K9" s="6">
        <f>IF(COUNTIFS(Appels!N10:O10,"P")&gt;0,"P",IF(SUMPRODUCT((Appels!N10:O10="P*")*1)&gt;0,"P*",IF(SUMPRODUCT((Appels!N10:O10="?")*1)&gt;0,"?","NV")))</f>
        <v/>
      </c>
      <c r="L9" s="6">
        <f>IF(COUNTIFS(Appels!P10:P10,"P")&gt;0,"P",IF(SUMPRODUCT((Appels!P10:P10="P*")*1)&gt;0,"P*",IF(SUMPRODUCT((Appels!P10:P10="?")*1)&gt;0,"?","NV")))</f>
        <v/>
      </c>
      <c r="M9" s="6">
        <f>IF(COUNTIFS(Appels!Q10:Q10,"P")&gt;0,"P",IF(SUMPRODUCT((Appels!Q10:Q10="P*")*1)&gt;0,"P*",IF(SUMPRODUCT((Appels!Q10:Q10="?")*1)&gt;0,"?","NV")))</f>
        <v/>
      </c>
      <c r="N9" s="6">
        <f>COUNTIFS(E9:M9,"P")</f>
        <v/>
      </c>
      <c r="O9" s="6">
        <f>SUMPRODUCT((E9:M9="P*")*1)</f>
        <v/>
      </c>
    </row>
    <row r="10" ht="24" customHeight="1">
      <c r="A10" s="14" t="inlineStr">
        <is>
          <t>33592</t>
        </is>
      </c>
      <c r="B10" s="14" t="inlineStr">
        <is>
          <t>BAMBA MOHAMED</t>
        </is>
      </c>
      <c r="C10" s="14" t="n"/>
      <c r="D10" s="14" t="n"/>
      <c r="E10" s="6">
        <f>IF(COUNTIFS(Appels!C11:C11,"P")&gt;0,"P",IF(SUMPRODUCT((Appels!C11:C11="P*")*1)&gt;0,"P*",IF(SUMPRODUCT((Appels!C11:C11="?")*1)&gt;0,"?","NV")))</f>
        <v/>
      </c>
      <c r="F10" s="6">
        <f>IF(COUNTIFS(Appels!D11:E11,"P")&gt;0,"P",IF(SUMPRODUCT((Appels!D11:E11="P*")*1)&gt;0,"P*",IF(SUMPRODUCT((Appels!D11:E11="?")*1)&gt;0,"?","NV")))</f>
        <v/>
      </c>
      <c r="G10" s="6">
        <f>IF(COUNTIFS(Appels!F11:F11,"P")&gt;0,"P",IF(SUMPRODUCT((Appels!F11:F11="P*")*1)&gt;0,"P*",IF(SUMPRODUCT((Appels!F11:F11="?")*1)&gt;0,"?","NV")))</f>
        <v/>
      </c>
      <c r="H10" s="6">
        <f>IF(COUNTIFS(Appels!G11:H11,"P")&gt;0,"P",IF(SUMPRODUCT((Appels!G11:H11="P*")*1)&gt;0,"P*",IF(SUMPRODUCT((Appels!G11:H11="?")*1)&gt;0,"?","NV")))</f>
        <v/>
      </c>
      <c r="I10" s="6">
        <f>IF(COUNTIFS(Appels!I11:J11,"P")&gt;0,"P",IF(SUMPRODUCT((Appels!I11:J11="P*")*1)&gt;0,"P*",IF(SUMPRODUCT((Appels!I11:J11="?")*1)&gt;0,"?","NV")))</f>
        <v/>
      </c>
      <c r="J10" s="6">
        <f>IF(COUNTIFS(Appels!K11:M11,"P")&gt;0,"P",IF(SUMPRODUCT((Appels!K11:M11="P*")*1)&gt;0,"P*",IF(SUMPRODUCT((Appels!K11:M11="?")*1)&gt;0,"?","NV")))</f>
        <v/>
      </c>
      <c r="K10" s="6">
        <f>IF(COUNTIFS(Appels!N11:O11,"P")&gt;0,"P",IF(SUMPRODUCT((Appels!N11:O11="P*")*1)&gt;0,"P*",IF(SUMPRODUCT((Appels!N11:O11="?")*1)&gt;0,"?","NV")))</f>
        <v/>
      </c>
      <c r="L10" s="6">
        <f>IF(COUNTIFS(Appels!P11:P11,"P")&gt;0,"P",IF(SUMPRODUCT((Appels!P11:P11="P*")*1)&gt;0,"P*",IF(SUMPRODUCT((Appels!P11:P11="?")*1)&gt;0,"?","NV")))</f>
        <v/>
      </c>
      <c r="M10" s="6">
        <f>IF(COUNTIFS(Appels!Q11:Q11,"P")&gt;0,"P",IF(SUMPRODUCT((Appels!Q11:Q11="P*")*1)&gt;0,"P*",IF(SUMPRODUCT((Appels!Q11:Q11="?")*1)&gt;0,"?","NV")))</f>
        <v/>
      </c>
      <c r="N10" s="6">
        <f>COUNTIFS(E10:M10,"P")</f>
        <v/>
      </c>
      <c r="O10" s="6">
        <f>SUMPRODUCT((E10:M10="P*")*1)</f>
        <v/>
      </c>
    </row>
    <row r="11" ht="24" customHeight="1">
      <c r="A11" s="14" t="inlineStr">
        <is>
          <t>32197</t>
        </is>
      </c>
      <c r="B11" s="14" t="inlineStr">
        <is>
          <t>BEKLOU HIEOUYA AUDE SAMIRAH</t>
        </is>
      </c>
      <c r="C11" s="14" t="n"/>
      <c r="D11" s="14" t="n"/>
      <c r="E11" s="6">
        <f>IF(COUNTIFS(Appels!C12:C12,"P")&gt;0,"P",IF(SUMPRODUCT((Appels!C12:C12="P*")*1)&gt;0,"P*",IF(SUMPRODUCT((Appels!C12:C12="?")*1)&gt;0,"?","NV")))</f>
        <v/>
      </c>
      <c r="F11" s="6">
        <f>IF(COUNTIFS(Appels!D12:E12,"P")&gt;0,"P",IF(SUMPRODUCT((Appels!D12:E12="P*")*1)&gt;0,"P*",IF(SUMPRODUCT((Appels!D12:E12="?")*1)&gt;0,"?","NV")))</f>
        <v/>
      </c>
      <c r="G11" s="6">
        <f>IF(COUNTIFS(Appels!F12:F12,"P")&gt;0,"P",IF(SUMPRODUCT((Appels!F12:F12="P*")*1)&gt;0,"P*",IF(SUMPRODUCT((Appels!F12:F12="?")*1)&gt;0,"?","NV")))</f>
        <v/>
      </c>
      <c r="H11" s="6">
        <f>IF(COUNTIFS(Appels!G12:H12,"P")&gt;0,"P",IF(SUMPRODUCT((Appels!G12:H12="P*")*1)&gt;0,"P*",IF(SUMPRODUCT((Appels!G12:H12="?")*1)&gt;0,"?","NV")))</f>
        <v/>
      </c>
      <c r="I11" s="6">
        <f>IF(COUNTIFS(Appels!I12:J12,"P")&gt;0,"P",IF(SUMPRODUCT((Appels!I12:J12="P*")*1)&gt;0,"P*",IF(SUMPRODUCT((Appels!I12:J12="?")*1)&gt;0,"?","NV")))</f>
        <v/>
      </c>
      <c r="J11" s="6">
        <f>IF(COUNTIFS(Appels!K12:M12,"P")&gt;0,"P",IF(SUMPRODUCT((Appels!K12:M12="P*")*1)&gt;0,"P*",IF(SUMPRODUCT((Appels!K12:M12="?")*1)&gt;0,"?","NV")))</f>
        <v/>
      </c>
      <c r="K11" s="6">
        <f>IF(COUNTIFS(Appels!N12:O12,"P")&gt;0,"P",IF(SUMPRODUCT((Appels!N12:O12="P*")*1)&gt;0,"P*",IF(SUMPRODUCT((Appels!N12:O12="?")*1)&gt;0,"?","NV")))</f>
        <v/>
      </c>
      <c r="L11" s="6">
        <f>IF(COUNTIFS(Appels!P12:P12,"P")&gt;0,"P",IF(SUMPRODUCT((Appels!P12:P12="P*")*1)&gt;0,"P*",IF(SUMPRODUCT((Appels!P12:P12="?")*1)&gt;0,"?","NV")))</f>
        <v/>
      </c>
      <c r="M11" s="6">
        <f>IF(COUNTIFS(Appels!Q12:Q12,"P")&gt;0,"P",IF(SUMPRODUCT((Appels!Q12:Q12="P*")*1)&gt;0,"P*",IF(SUMPRODUCT((Appels!Q12:Q12="?")*1)&gt;0,"?","NV")))</f>
        <v/>
      </c>
      <c r="N11" s="6">
        <f>COUNTIFS(E11:M11,"P")</f>
        <v/>
      </c>
      <c r="O11" s="6">
        <f>SUMPRODUCT((E11:M11="P*")*1)</f>
        <v/>
      </c>
    </row>
    <row r="12" ht="24" customHeight="1">
      <c r="A12" s="14" t="inlineStr">
        <is>
          <t>32688</t>
        </is>
      </c>
      <c r="B12" s="14" t="inlineStr">
        <is>
          <t>BESDALI YOHAN ARMSTRONG</t>
        </is>
      </c>
      <c r="C12" s="14" t="n"/>
      <c r="D12" s="14" t="n"/>
      <c r="E12" s="6">
        <f>IF(COUNTIFS(Appels!C13:C13,"P")&gt;0,"P",IF(SUMPRODUCT((Appels!C13:C13="P*")*1)&gt;0,"P*",IF(SUMPRODUCT((Appels!C13:C13="?")*1)&gt;0,"?","NV")))</f>
        <v/>
      </c>
      <c r="F12" s="6">
        <f>IF(COUNTIFS(Appels!D13:E13,"P")&gt;0,"P",IF(SUMPRODUCT((Appels!D13:E13="P*")*1)&gt;0,"P*",IF(SUMPRODUCT((Appels!D13:E13="?")*1)&gt;0,"?","NV")))</f>
        <v/>
      </c>
      <c r="G12" s="6">
        <f>IF(COUNTIFS(Appels!F13:F13,"P")&gt;0,"P",IF(SUMPRODUCT((Appels!F13:F13="P*")*1)&gt;0,"P*",IF(SUMPRODUCT((Appels!F13:F13="?")*1)&gt;0,"?","NV")))</f>
        <v/>
      </c>
      <c r="H12" s="6" t="inlineStr">
        <is>
          <t>P</t>
        </is>
      </c>
      <c r="I12" s="6" t="inlineStr">
        <is>
          <t>P</t>
        </is>
      </c>
      <c r="J12" s="6">
        <f>IF(COUNTIFS(Appels!K13:M13,"P")&gt;0,"P",IF(SUMPRODUCT((Appels!K13:M13="P*")*1)&gt;0,"P*",IF(SUMPRODUCT((Appels!K13:M13="?")*1)&gt;0,"?","NV")))</f>
        <v/>
      </c>
      <c r="K12" s="6">
        <f>IF(COUNTIFS(Appels!N13:O13,"P")&gt;0,"P",IF(SUMPRODUCT((Appels!N13:O13="P*")*1)&gt;0,"P*",IF(SUMPRODUCT((Appels!N13:O13="?")*1)&gt;0,"?","NV")))</f>
        <v/>
      </c>
      <c r="L12" s="6">
        <f>IF(COUNTIFS(Appels!P13:P13,"P")&gt;0,"P",IF(SUMPRODUCT((Appels!P13:P13="P*")*1)&gt;0,"P*",IF(SUMPRODUCT((Appels!P13:P13="?")*1)&gt;0,"?","NV")))</f>
        <v/>
      </c>
      <c r="M12" s="6">
        <f>IF(COUNTIFS(Appels!Q13:Q13,"P")&gt;0,"P",IF(SUMPRODUCT((Appels!Q13:Q13="P*")*1)&gt;0,"P*",IF(SUMPRODUCT((Appels!Q13:Q13="?")*1)&gt;0,"?","NV")))</f>
        <v/>
      </c>
      <c r="N12" s="6">
        <f>COUNTIFS(E12:M12,"P")</f>
        <v/>
      </c>
      <c r="O12" s="6">
        <f>SUMPRODUCT((E12:M12="P*")*1)</f>
        <v/>
      </c>
    </row>
    <row r="13" ht="24" customHeight="1">
      <c r="A13" s="14" t="inlineStr">
        <is>
          <t>33036</t>
        </is>
      </c>
      <c r="B13" s="14" t="inlineStr">
        <is>
          <t>BOUNDY ASSETOU IBRAHIM</t>
        </is>
      </c>
      <c r="C13" s="14" t="n"/>
      <c r="D13" s="14" t="n"/>
      <c r="E13" s="6">
        <f>IF(COUNTIFS(Appels!C14:C14,"P")&gt;0,"P",IF(SUMPRODUCT((Appels!C14:C14="P*")*1)&gt;0,"P*",IF(SUMPRODUCT((Appels!C14:C14="?")*1)&gt;0,"?","NV")))</f>
        <v/>
      </c>
      <c r="F13" s="6">
        <f>IF(COUNTIFS(Appels!D14:E14,"P")&gt;0,"P",IF(SUMPRODUCT((Appels!D14:E14="P*")*1)&gt;0,"P*",IF(SUMPRODUCT((Appels!D14:E14="?")*1)&gt;0,"?","NV")))</f>
        <v/>
      </c>
      <c r="G13" s="6">
        <f>IF(COUNTIFS(Appels!F14:F14,"P")&gt;0,"P",IF(SUMPRODUCT((Appels!F14:F14="P*")*1)&gt;0,"P*",IF(SUMPRODUCT((Appels!F14:F14="?")*1)&gt;0,"?","NV")))</f>
        <v/>
      </c>
      <c r="H13" s="6">
        <f>IF(COUNTIFS(Appels!G14:H14,"P")&gt;0,"P",IF(SUMPRODUCT((Appels!G14:H14="P*")*1)&gt;0,"P*",IF(SUMPRODUCT((Appels!G14:H14="?")*1)&gt;0,"?","NV")))</f>
        <v/>
      </c>
      <c r="I13" s="6">
        <f>IF(COUNTIFS(Appels!I14:J14,"P")&gt;0,"P",IF(SUMPRODUCT((Appels!I14:J14="P*")*1)&gt;0,"P*",IF(SUMPRODUCT((Appels!I14:J14="?")*1)&gt;0,"?","NV")))</f>
        <v/>
      </c>
      <c r="J13" s="6">
        <f>IF(COUNTIFS(Appels!K14:M14,"P")&gt;0,"P",IF(SUMPRODUCT((Appels!K14:M14="P*")*1)&gt;0,"P*",IF(SUMPRODUCT((Appels!K14:M14="?")*1)&gt;0,"?","NV")))</f>
        <v/>
      </c>
      <c r="K13" s="6">
        <f>IF(COUNTIFS(Appels!N14:O14,"P")&gt;0,"P",IF(SUMPRODUCT((Appels!N14:O14="P*")*1)&gt;0,"P*",IF(SUMPRODUCT((Appels!N14:O14="?")*1)&gt;0,"?","NV")))</f>
        <v/>
      </c>
      <c r="L13" s="6">
        <f>IF(COUNTIFS(Appels!P14:P14,"P")&gt;0,"P",IF(SUMPRODUCT((Appels!P14:P14="P*")*1)&gt;0,"P*",IF(SUMPRODUCT((Appels!P14:P14="?")*1)&gt;0,"?","NV")))</f>
        <v/>
      </c>
      <c r="M13" s="6">
        <f>IF(COUNTIFS(Appels!Q14:Q14,"P")&gt;0,"P",IF(SUMPRODUCT((Appels!Q14:Q14="P*")*1)&gt;0,"P*",IF(SUMPRODUCT((Appels!Q14:Q14="?")*1)&gt;0,"?","NV")))</f>
        <v/>
      </c>
      <c r="N13" s="6">
        <f>COUNTIFS(E13:M13,"P")</f>
        <v/>
      </c>
      <c r="O13" s="6">
        <f>SUMPRODUCT((E13:M13="P*")*1)</f>
        <v/>
      </c>
    </row>
    <row r="14" ht="24" customHeight="1">
      <c r="A14" s="14" t="inlineStr">
        <is>
          <t>32365</t>
        </is>
      </c>
      <c r="B14" s="14" t="inlineStr">
        <is>
          <t>CAMARA OFFE KALPI ANGE-EMMANUEL</t>
        </is>
      </c>
      <c r="C14" s="14" t="n"/>
      <c r="D14" s="14" t="n"/>
      <c r="E14" s="6">
        <f>IF(COUNTIFS(Appels!C15:C15,"P")&gt;0,"P",IF(SUMPRODUCT((Appels!C15:C15="P*")*1)&gt;0,"P*",IF(SUMPRODUCT((Appels!C15:C15="?")*1)&gt;0,"?","NV")))</f>
        <v/>
      </c>
      <c r="F14" s="6">
        <f>IF(COUNTIFS(Appels!D15:E15,"P")&gt;0,"P",IF(SUMPRODUCT((Appels!D15:E15="P*")*1)&gt;0,"P*",IF(SUMPRODUCT((Appels!D15:E15="?")*1)&gt;0,"?","NV")))</f>
        <v/>
      </c>
      <c r="G14" s="6">
        <f>IF(COUNTIFS(Appels!F15:F15,"P")&gt;0,"P",IF(SUMPRODUCT((Appels!F15:F15="P*")*1)&gt;0,"P*",IF(SUMPRODUCT((Appels!F15:F15="?")*1)&gt;0,"?","NV")))</f>
        <v/>
      </c>
      <c r="H14" s="6">
        <f>IF(COUNTIFS(Appels!G15:H15,"P")&gt;0,"P",IF(SUMPRODUCT((Appels!G15:H15="P*")*1)&gt;0,"P*",IF(SUMPRODUCT((Appels!G15:H15="?")*1)&gt;0,"?","NV")))</f>
        <v/>
      </c>
      <c r="I14" s="6">
        <f>IF(COUNTIFS(Appels!I15:J15,"P")&gt;0,"P",IF(SUMPRODUCT((Appels!I15:J15="P*")*1)&gt;0,"P*",IF(SUMPRODUCT((Appels!I15:J15="?")*1)&gt;0,"?","NV")))</f>
        <v/>
      </c>
      <c r="J14" s="6">
        <f>IF(COUNTIFS(Appels!K15:M15,"P")&gt;0,"P",IF(SUMPRODUCT((Appels!K15:M15="P*")*1)&gt;0,"P*",IF(SUMPRODUCT((Appels!K15:M15="?")*1)&gt;0,"?","NV")))</f>
        <v/>
      </c>
      <c r="K14" s="6">
        <f>IF(COUNTIFS(Appels!N15:O15,"P")&gt;0,"P",IF(SUMPRODUCT((Appels!N15:O15="P*")*1)&gt;0,"P*",IF(SUMPRODUCT((Appels!N15:O15="?")*1)&gt;0,"?","NV")))</f>
        <v/>
      </c>
      <c r="L14" s="6">
        <f>IF(COUNTIFS(Appels!P15:P15,"P")&gt;0,"P",IF(SUMPRODUCT((Appels!P15:P15="P*")*1)&gt;0,"P*",IF(SUMPRODUCT((Appels!P15:P15="?")*1)&gt;0,"?","NV")))</f>
        <v/>
      </c>
      <c r="M14" s="6">
        <f>IF(COUNTIFS(Appels!Q15:Q15,"P")&gt;0,"P",IF(SUMPRODUCT((Appels!Q15:Q15="P*")*1)&gt;0,"P*",IF(SUMPRODUCT((Appels!Q15:Q15="?")*1)&gt;0,"?","NV")))</f>
        <v/>
      </c>
      <c r="N14" s="6">
        <f>COUNTIFS(E14:M14,"P")</f>
        <v/>
      </c>
      <c r="O14" s="6">
        <f>SUMPRODUCT((E14:M14="P*")*1)</f>
        <v/>
      </c>
    </row>
    <row r="15" ht="24" customHeight="1">
      <c r="A15" s="14" t="inlineStr">
        <is>
          <t>32982</t>
        </is>
      </c>
      <c r="B15" s="14" t="inlineStr">
        <is>
          <t>COULIBALY ALIMA VALERIE</t>
        </is>
      </c>
      <c r="C15" s="14" t="n"/>
      <c r="D15" s="14" t="n"/>
      <c r="E15" s="6">
        <f>IF(COUNTIFS(Appels!C16:C16,"P")&gt;0,"P",IF(SUMPRODUCT((Appels!C16:C16="P*")*1)&gt;0,"P*",IF(SUMPRODUCT((Appels!C16:C16="?")*1)&gt;0,"?","NV")))</f>
        <v/>
      </c>
      <c r="F15" s="6">
        <f>IF(COUNTIFS(Appels!D16:E16,"P")&gt;0,"P",IF(SUMPRODUCT((Appels!D16:E16="P*")*1)&gt;0,"P*",IF(SUMPRODUCT((Appels!D16:E16="?")*1)&gt;0,"?","NV")))</f>
        <v/>
      </c>
      <c r="G15" s="6">
        <f>IF(COUNTIFS(Appels!F16:F16,"P")&gt;0,"P",IF(SUMPRODUCT((Appels!F16:F16="P*")*1)&gt;0,"P*",IF(SUMPRODUCT((Appels!F16:F16="?")*1)&gt;0,"?","NV")))</f>
        <v/>
      </c>
      <c r="H15" s="6">
        <f>IF(COUNTIFS(Appels!G16:H16,"P")&gt;0,"P",IF(SUMPRODUCT((Appels!G16:H16="P*")*1)&gt;0,"P*",IF(SUMPRODUCT((Appels!G16:H16="?")*1)&gt;0,"?","NV")))</f>
        <v/>
      </c>
      <c r="I15" s="6">
        <f>IF(COUNTIFS(Appels!I16:J16,"P")&gt;0,"P",IF(SUMPRODUCT((Appels!I16:J16="P*")*1)&gt;0,"P*",IF(SUMPRODUCT((Appels!I16:J16="?")*1)&gt;0,"?","NV")))</f>
        <v/>
      </c>
      <c r="J15" s="6">
        <f>IF(COUNTIFS(Appels!K16:M16,"P")&gt;0,"P",IF(SUMPRODUCT((Appels!K16:M16="P*")*1)&gt;0,"P*",IF(SUMPRODUCT((Appels!K16:M16="?")*1)&gt;0,"?","NV")))</f>
        <v/>
      </c>
      <c r="K15" s="6">
        <f>IF(COUNTIFS(Appels!N16:O16,"P")&gt;0,"P",IF(SUMPRODUCT((Appels!N16:O16="P*")*1)&gt;0,"P*",IF(SUMPRODUCT((Appels!N16:O16="?")*1)&gt;0,"?","NV")))</f>
        <v/>
      </c>
      <c r="L15" s="6">
        <f>IF(COUNTIFS(Appels!P16:P16,"P")&gt;0,"P",IF(SUMPRODUCT((Appels!P16:P16="P*")*1)&gt;0,"P*",IF(SUMPRODUCT((Appels!P16:P16="?")*1)&gt;0,"?","NV")))</f>
        <v/>
      </c>
      <c r="M15" s="6">
        <f>IF(COUNTIFS(Appels!Q16:Q16,"P")&gt;0,"P",IF(SUMPRODUCT((Appels!Q16:Q16="P*")*1)&gt;0,"P*",IF(SUMPRODUCT((Appels!Q16:Q16="?")*1)&gt;0,"?","NV")))</f>
        <v/>
      </c>
      <c r="N15" s="6">
        <f>COUNTIFS(E15:M15,"P")</f>
        <v/>
      </c>
      <c r="O15" s="6">
        <f>SUMPRODUCT((E15:M15="P*")*1)</f>
        <v/>
      </c>
    </row>
    <row r="16" ht="24" customHeight="1">
      <c r="A16" s="14" t="inlineStr">
        <is>
          <t>33042</t>
        </is>
      </c>
      <c r="B16" s="14" t="inlineStr">
        <is>
          <t>COULIBALY KADIDIATOU</t>
        </is>
      </c>
      <c r="C16" s="14" t="n"/>
      <c r="D16" s="14" t="n"/>
      <c r="E16" s="6">
        <f>IF(COUNTIFS(Appels!C17:C17,"P")&gt;0,"P",IF(SUMPRODUCT((Appels!C17:C17="P*")*1)&gt;0,"P*",IF(SUMPRODUCT((Appels!C17:C17="?")*1)&gt;0,"?","NV")))</f>
        <v/>
      </c>
      <c r="F16" s="6">
        <f>IF(COUNTIFS(Appels!D17:E17,"P")&gt;0,"P",IF(SUMPRODUCT((Appels!D17:E17="P*")*1)&gt;0,"P*",IF(SUMPRODUCT((Appels!D17:E17="?")*1)&gt;0,"?","NV")))</f>
        <v/>
      </c>
      <c r="G16" s="6">
        <f>IF(COUNTIFS(Appels!F17:F17,"P")&gt;0,"P",IF(SUMPRODUCT((Appels!F17:F17="P*")*1)&gt;0,"P*",IF(SUMPRODUCT((Appels!F17:F17="?")*1)&gt;0,"?","NV")))</f>
        <v/>
      </c>
      <c r="H16" s="6">
        <f>IF(COUNTIFS(Appels!G17:H17,"P")&gt;0,"P",IF(SUMPRODUCT((Appels!G17:H17="P*")*1)&gt;0,"P*",IF(SUMPRODUCT((Appels!G17:H17="?")*1)&gt;0,"?","NV")))</f>
        <v/>
      </c>
      <c r="I16" s="6">
        <f>IF(COUNTIFS(Appels!I17:J17,"P")&gt;0,"P",IF(SUMPRODUCT((Appels!I17:J17="P*")*1)&gt;0,"P*",IF(SUMPRODUCT((Appels!I17:J17="?")*1)&gt;0,"?","NV")))</f>
        <v/>
      </c>
      <c r="J16" s="6">
        <f>IF(COUNTIFS(Appels!K17:M17,"P")&gt;0,"P",IF(SUMPRODUCT((Appels!K17:M17="P*")*1)&gt;0,"P*",IF(SUMPRODUCT((Appels!K17:M17="?")*1)&gt;0,"?","NV")))</f>
        <v/>
      </c>
      <c r="K16" s="6">
        <f>IF(COUNTIFS(Appels!N17:O17,"P")&gt;0,"P",IF(SUMPRODUCT((Appels!N17:O17="P*")*1)&gt;0,"P*",IF(SUMPRODUCT((Appels!N17:O17="?")*1)&gt;0,"?","NV")))</f>
        <v/>
      </c>
      <c r="L16" s="6">
        <f>IF(COUNTIFS(Appels!P17:P17,"P")&gt;0,"P",IF(SUMPRODUCT((Appels!P17:P17="P*")*1)&gt;0,"P*",IF(SUMPRODUCT((Appels!P17:P17="?")*1)&gt;0,"?","NV")))</f>
        <v/>
      </c>
      <c r="M16" s="6">
        <f>IF(COUNTIFS(Appels!Q17:Q17,"P")&gt;0,"P",IF(SUMPRODUCT((Appels!Q17:Q17="P*")*1)&gt;0,"P*",IF(SUMPRODUCT((Appels!Q17:Q17="?")*1)&gt;0,"?","NV")))</f>
        <v/>
      </c>
      <c r="N16" s="6">
        <f>COUNTIFS(E16:M16,"P")</f>
        <v/>
      </c>
      <c r="O16" s="6">
        <f>SUMPRODUCT((E16:M16="P*")*1)</f>
        <v/>
      </c>
    </row>
    <row r="17" ht="24" customHeight="1">
      <c r="A17" s="14" t="inlineStr">
        <is>
          <t>33596</t>
        </is>
      </c>
      <c r="B17" s="14" t="inlineStr">
        <is>
          <t>DIAKITE MODIBO</t>
        </is>
      </c>
      <c r="C17" s="14" t="n"/>
      <c r="D17" s="14" t="n"/>
      <c r="E17" s="6">
        <f>IF(COUNTIFS(Appels!C18:C18,"P")&gt;0,"P",IF(SUMPRODUCT((Appels!C18:C18="P*")*1)&gt;0,"P*",IF(SUMPRODUCT((Appels!C18:C18="?")*1)&gt;0,"?","NV")))</f>
        <v/>
      </c>
      <c r="F17" s="6">
        <f>IF(COUNTIFS(Appels!D18:E18,"P")&gt;0,"P",IF(SUMPRODUCT((Appels!D18:E18="P*")*1)&gt;0,"P*",IF(SUMPRODUCT((Appels!D18:E18="?")*1)&gt;0,"?","NV")))</f>
        <v/>
      </c>
      <c r="G17" s="6">
        <f>IF(COUNTIFS(Appels!F18:F18,"P")&gt;0,"P",IF(SUMPRODUCT((Appels!F18:F18="P*")*1)&gt;0,"P*",IF(SUMPRODUCT((Appels!F18:F18="?")*1)&gt;0,"?","NV")))</f>
        <v/>
      </c>
      <c r="H17" s="6">
        <f>IF(COUNTIFS(Appels!G18:H18,"P")&gt;0,"P",IF(SUMPRODUCT((Appels!G18:H18="P*")*1)&gt;0,"P*",IF(SUMPRODUCT((Appels!G18:H18="?")*1)&gt;0,"?","NV")))</f>
        <v/>
      </c>
      <c r="I17" s="6">
        <f>IF(COUNTIFS(Appels!I18:J18,"P")&gt;0,"P",IF(SUMPRODUCT((Appels!I18:J18="P*")*1)&gt;0,"P*",IF(SUMPRODUCT((Appels!I18:J18="?")*1)&gt;0,"?","NV")))</f>
        <v/>
      </c>
      <c r="J17" s="6">
        <f>IF(COUNTIFS(Appels!K18:M18,"P")&gt;0,"P",IF(SUMPRODUCT((Appels!K18:M18="P*")*1)&gt;0,"P*",IF(SUMPRODUCT((Appels!K18:M18="?")*1)&gt;0,"?","NV")))</f>
        <v/>
      </c>
      <c r="K17" s="6">
        <f>IF(COUNTIFS(Appels!N18:O18,"P")&gt;0,"P",IF(SUMPRODUCT((Appels!N18:O18="P*")*1)&gt;0,"P*",IF(SUMPRODUCT((Appels!N18:O18="?")*1)&gt;0,"?","NV")))</f>
        <v/>
      </c>
      <c r="L17" s="6">
        <f>IF(COUNTIFS(Appels!P18:P18,"P")&gt;0,"P",IF(SUMPRODUCT((Appels!P18:P18="P*")*1)&gt;0,"P*",IF(SUMPRODUCT((Appels!P18:P18="?")*1)&gt;0,"?","NV")))</f>
        <v/>
      </c>
      <c r="M17" s="6">
        <f>IF(COUNTIFS(Appels!Q18:Q18,"P")&gt;0,"P",IF(SUMPRODUCT((Appels!Q18:Q18="P*")*1)&gt;0,"P*",IF(SUMPRODUCT((Appels!Q18:Q18="?")*1)&gt;0,"?","NV")))</f>
        <v/>
      </c>
      <c r="N17" s="6">
        <f>COUNTIFS(E17:M17,"P")</f>
        <v/>
      </c>
      <c r="O17" s="6">
        <f>SUMPRODUCT((E17:M17="P*")*1)</f>
        <v/>
      </c>
    </row>
    <row r="18" ht="24" customHeight="1">
      <c r="A18" s="14" t="inlineStr">
        <is>
          <t>33614</t>
        </is>
      </c>
      <c r="B18" s="14" t="inlineStr">
        <is>
          <t>GBLA TONGA ELIEL</t>
        </is>
      </c>
      <c r="C18" s="14" t="n"/>
      <c r="D18" s="14" t="n"/>
      <c r="E18" s="6">
        <f>IF(COUNTIFS(Appels!C19:C19,"P")&gt;0,"P",IF(SUMPRODUCT((Appels!C19:C19="P*")*1)&gt;0,"P*",IF(SUMPRODUCT((Appels!C19:C19="?")*1)&gt;0,"?","NV")))</f>
        <v/>
      </c>
      <c r="F18" s="6">
        <f>IF(COUNTIFS(Appels!D19:E19,"P")&gt;0,"P",IF(SUMPRODUCT((Appels!D19:E19="P*")*1)&gt;0,"P*",IF(SUMPRODUCT((Appels!D19:E19="?")*1)&gt;0,"?","NV")))</f>
        <v/>
      </c>
      <c r="G18" s="6">
        <f>IF(COUNTIFS(Appels!F19:F19,"P")&gt;0,"P",IF(SUMPRODUCT((Appels!F19:F19="P*")*1)&gt;0,"P*",IF(SUMPRODUCT((Appels!F19:F19="?")*1)&gt;0,"?","NV")))</f>
        <v/>
      </c>
      <c r="H18" s="6">
        <f>IF(COUNTIFS(Appels!G19:H19,"P")&gt;0,"P",IF(SUMPRODUCT((Appels!G19:H19="P*")*1)&gt;0,"P*",IF(SUMPRODUCT((Appels!G19:H19="?")*1)&gt;0,"?","NV")))</f>
        <v/>
      </c>
      <c r="I18" s="6">
        <f>IF(COUNTIFS(Appels!I19:J19,"P")&gt;0,"P",IF(SUMPRODUCT((Appels!I19:J19="P*")*1)&gt;0,"P*",IF(SUMPRODUCT((Appels!I19:J19="?")*1)&gt;0,"?","NV")))</f>
        <v/>
      </c>
      <c r="J18" s="6">
        <f>IF(COUNTIFS(Appels!K19:M19,"P")&gt;0,"P",IF(SUMPRODUCT((Appels!K19:M19="P*")*1)&gt;0,"P*",IF(SUMPRODUCT((Appels!K19:M19="?")*1)&gt;0,"?","NV")))</f>
        <v/>
      </c>
      <c r="K18" s="6">
        <f>IF(COUNTIFS(Appels!N19:O19,"P")&gt;0,"P",IF(SUMPRODUCT((Appels!N19:O19="P*")*1)&gt;0,"P*",IF(SUMPRODUCT((Appels!N19:O19="?")*1)&gt;0,"?","NV")))</f>
        <v/>
      </c>
      <c r="L18" s="6">
        <f>IF(COUNTIFS(Appels!P19:P19,"P")&gt;0,"P",IF(SUMPRODUCT((Appels!P19:P19="P*")*1)&gt;0,"P*",IF(SUMPRODUCT((Appels!P19:P19="?")*1)&gt;0,"?","NV")))</f>
        <v/>
      </c>
      <c r="M18" s="6">
        <f>IF(COUNTIFS(Appels!Q19:Q19,"P")&gt;0,"P",IF(SUMPRODUCT((Appels!Q19:Q19="P*")*1)&gt;0,"P*",IF(SUMPRODUCT((Appels!Q19:Q19="?")*1)&gt;0,"?","NV")))</f>
        <v/>
      </c>
      <c r="N18" s="6">
        <f>COUNTIFS(E18:M18,"P")</f>
        <v/>
      </c>
      <c r="O18" s="6">
        <f>SUMPRODUCT((E18:M18="P*")*1)</f>
        <v/>
      </c>
    </row>
    <row r="19" ht="24" customHeight="1">
      <c r="A19" s="14" t="inlineStr">
        <is>
          <t>32945</t>
        </is>
      </c>
      <c r="B19" s="14" t="inlineStr">
        <is>
          <t>KACOU AYA AGNES EMMANUELLA LESLIE</t>
        </is>
      </c>
      <c r="C19" s="14" t="n"/>
      <c r="D19" s="14" t="n"/>
      <c r="E19" s="6">
        <f>IF(COUNTIFS(Appels!C20:C20,"P")&gt;0,"P",IF(SUMPRODUCT((Appels!C20:C20="P*")*1)&gt;0,"P*",IF(SUMPRODUCT((Appels!C20:C20="?")*1)&gt;0,"?","NV")))</f>
        <v/>
      </c>
      <c r="F19" s="6">
        <f>IF(COUNTIFS(Appels!D20:E20,"P")&gt;0,"P",IF(SUMPRODUCT((Appels!D20:E20="P*")*1)&gt;0,"P*",IF(SUMPRODUCT((Appels!D20:E20="?")*1)&gt;0,"?","NV")))</f>
        <v/>
      </c>
      <c r="G19" s="6">
        <f>IF(COUNTIFS(Appels!F20:F20,"P")&gt;0,"P",IF(SUMPRODUCT((Appels!F20:F20="P*")*1)&gt;0,"P*",IF(SUMPRODUCT((Appels!F20:F20="?")*1)&gt;0,"?","NV")))</f>
        <v/>
      </c>
      <c r="H19" s="6">
        <f>IF(COUNTIFS(Appels!G20:H20,"P")&gt;0,"P",IF(SUMPRODUCT((Appels!G20:H20="P*")*1)&gt;0,"P*",IF(SUMPRODUCT((Appels!G20:H20="?")*1)&gt;0,"?","NV")))</f>
        <v/>
      </c>
      <c r="I19" s="6">
        <f>IF(COUNTIFS(Appels!I20:J20,"P")&gt;0,"P",IF(SUMPRODUCT((Appels!I20:J20="P*")*1)&gt;0,"P*",IF(SUMPRODUCT((Appels!I20:J20="?")*1)&gt;0,"?","NV")))</f>
        <v/>
      </c>
      <c r="J19" s="6">
        <f>IF(COUNTIFS(Appels!K20:M20,"P")&gt;0,"P",IF(SUMPRODUCT((Appels!K20:M20="P*")*1)&gt;0,"P*",IF(SUMPRODUCT((Appels!K20:M20="?")*1)&gt;0,"?","NV")))</f>
        <v/>
      </c>
      <c r="K19" s="6">
        <f>IF(COUNTIFS(Appels!N20:O20,"P")&gt;0,"P",IF(SUMPRODUCT((Appels!N20:O20="P*")*1)&gt;0,"P*",IF(SUMPRODUCT((Appels!N20:O20="?")*1)&gt;0,"?","NV")))</f>
        <v/>
      </c>
      <c r="L19" s="6">
        <f>IF(COUNTIFS(Appels!P20:P20,"P")&gt;0,"P",IF(SUMPRODUCT((Appels!P20:P20="P*")*1)&gt;0,"P*",IF(SUMPRODUCT((Appels!P20:P20="?")*1)&gt;0,"?","NV")))</f>
        <v/>
      </c>
      <c r="M19" s="6">
        <f>IF(COUNTIFS(Appels!Q20:Q20,"P")&gt;0,"P",IF(SUMPRODUCT((Appels!Q20:Q20="P*")*1)&gt;0,"P*",IF(SUMPRODUCT((Appels!Q20:Q20="?")*1)&gt;0,"?","NV")))</f>
        <v/>
      </c>
      <c r="N19" s="6">
        <f>COUNTIFS(E19:M19,"P")</f>
        <v/>
      </c>
      <c r="O19" s="6">
        <f>SUMPRODUCT((E19:M19="P*")*1)</f>
        <v/>
      </c>
    </row>
    <row r="20" ht="24" customHeight="1">
      <c r="A20" s="14" t="inlineStr">
        <is>
          <t>32965</t>
        </is>
      </c>
      <c r="B20" s="14" t="inlineStr">
        <is>
          <t>N'GUESSAN KAMLAN GUY</t>
        </is>
      </c>
      <c r="C20" s="14" t="n"/>
      <c r="D20" s="14" t="n"/>
      <c r="E20" s="6">
        <f>IF(COUNTIFS(Appels!C21:C21,"P")&gt;0,"P",IF(SUMPRODUCT((Appels!C21:C21="P*")*1)&gt;0,"P*",IF(SUMPRODUCT((Appels!C21:C21="?")*1)&gt;0,"?","NV")))</f>
        <v/>
      </c>
      <c r="F20" s="6">
        <f>IF(COUNTIFS(Appels!D21:E21,"P")&gt;0,"P",IF(SUMPRODUCT((Appels!D21:E21="P*")*1)&gt;0,"P*",IF(SUMPRODUCT((Appels!D21:E21="?")*1)&gt;0,"?","NV")))</f>
        <v/>
      </c>
      <c r="G20" s="6">
        <f>IF(COUNTIFS(Appels!F21:F21,"P")&gt;0,"P",IF(SUMPRODUCT((Appels!F21:F21="P*")*1)&gt;0,"P*",IF(SUMPRODUCT((Appels!F21:F21="?")*1)&gt;0,"?","NV")))</f>
        <v/>
      </c>
      <c r="H20" s="6">
        <f>IF(COUNTIFS(Appels!G21:H21,"P")&gt;0,"P",IF(SUMPRODUCT((Appels!G21:H21="P*")*1)&gt;0,"P*",IF(SUMPRODUCT((Appels!G21:H21="?")*1)&gt;0,"?","NV")))</f>
        <v/>
      </c>
      <c r="I20" s="6">
        <f>IF(COUNTIFS(Appels!I21:J21,"P")&gt;0,"P",IF(SUMPRODUCT((Appels!I21:J21="P*")*1)&gt;0,"P*",IF(SUMPRODUCT((Appels!I21:J21="?")*1)&gt;0,"?","NV")))</f>
        <v/>
      </c>
      <c r="J20" s="6">
        <f>IF(COUNTIFS(Appels!K21:M21,"P")&gt;0,"P",IF(SUMPRODUCT((Appels!K21:M21="P*")*1)&gt;0,"P*",IF(SUMPRODUCT((Appels!K21:M21="?")*1)&gt;0,"?","NV")))</f>
        <v/>
      </c>
      <c r="K20" s="6">
        <f>IF(COUNTIFS(Appels!N21:O21,"P")&gt;0,"P",IF(SUMPRODUCT((Appels!N21:O21="P*")*1)&gt;0,"P*",IF(SUMPRODUCT((Appels!N21:O21="?")*1)&gt;0,"?","NV")))</f>
        <v/>
      </c>
      <c r="L20" s="6">
        <f>IF(COUNTIFS(Appels!P21:P21,"P")&gt;0,"P",IF(SUMPRODUCT((Appels!P21:P21="P*")*1)&gt;0,"P*",IF(SUMPRODUCT((Appels!P21:P21="?")*1)&gt;0,"?","NV")))</f>
        <v/>
      </c>
      <c r="M20" s="6">
        <f>IF(COUNTIFS(Appels!Q21:Q21,"P")&gt;0,"P",IF(SUMPRODUCT((Appels!Q21:Q21="P*")*1)&gt;0,"P*",IF(SUMPRODUCT((Appels!Q21:Q21="?")*1)&gt;0,"?","NV")))</f>
        <v/>
      </c>
      <c r="N20" s="6">
        <f>COUNTIFS(E20:M20,"P")</f>
        <v/>
      </c>
      <c r="O20" s="6">
        <f>SUMPRODUCT((E20:M20="P*")*1)</f>
        <v/>
      </c>
    </row>
    <row r="21" ht="24" customHeight="1">
      <c r="A21" s="14" t="inlineStr">
        <is>
          <t>32926</t>
        </is>
      </c>
      <c r="B21" s="14" t="inlineStr">
        <is>
          <t>N'GUESSAN MOAYE FABRICE</t>
        </is>
      </c>
      <c r="C21" s="14" t="n"/>
      <c r="D21" s="14" t="n"/>
      <c r="E21" s="6">
        <f>IF(COUNTIFS(Appels!C22:C22,"P")&gt;0,"P",IF(SUMPRODUCT((Appels!C22:C22="P*")*1)&gt;0,"P*",IF(SUMPRODUCT((Appels!C22:C22="?")*1)&gt;0,"?","NV")))</f>
        <v/>
      </c>
      <c r="F21" s="6">
        <f>IF(COUNTIFS(Appels!D22:E22,"P")&gt;0,"P",IF(SUMPRODUCT((Appels!D22:E22="P*")*1)&gt;0,"P*",IF(SUMPRODUCT((Appels!D22:E22="?")*1)&gt;0,"?","NV")))</f>
        <v/>
      </c>
      <c r="G21" s="6">
        <f>IF(COUNTIFS(Appels!F22:F22,"P")&gt;0,"P",IF(SUMPRODUCT((Appels!F22:F22="P*")*1)&gt;0,"P*",IF(SUMPRODUCT((Appels!F22:F22="?")*1)&gt;0,"?","NV")))</f>
        <v/>
      </c>
      <c r="H21" s="6">
        <f>IF(COUNTIFS(Appels!G22:H22,"P")&gt;0,"P",IF(SUMPRODUCT((Appels!G22:H22="P*")*1)&gt;0,"P*",IF(SUMPRODUCT((Appels!G22:H22="?")*1)&gt;0,"?","NV")))</f>
        <v/>
      </c>
      <c r="I21" s="6">
        <f>IF(COUNTIFS(Appels!I22:J22,"P")&gt;0,"P",IF(SUMPRODUCT((Appels!I22:J22="P*")*1)&gt;0,"P*",IF(SUMPRODUCT((Appels!I22:J22="?")*1)&gt;0,"?","NV")))</f>
        <v/>
      </c>
      <c r="J21" s="6">
        <f>IF(COUNTIFS(Appels!K22:M22,"P")&gt;0,"P",IF(SUMPRODUCT((Appels!K22:M22="P*")*1)&gt;0,"P*",IF(SUMPRODUCT((Appels!K22:M22="?")*1)&gt;0,"?","NV")))</f>
        <v/>
      </c>
      <c r="K21" s="6">
        <f>IF(COUNTIFS(Appels!N22:O22,"P")&gt;0,"P",IF(SUMPRODUCT((Appels!N22:O22="P*")*1)&gt;0,"P*",IF(SUMPRODUCT((Appels!N22:O22="?")*1)&gt;0,"?","NV")))</f>
        <v/>
      </c>
      <c r="L21" s="6">
        <f>IF(COUNTIFS(Appels!P22:P22,"P")&gt;0,"P",IF(SUMPRODUCT((Appels!P22:P22="P*")*1)&gt;0,"P*",IF(SUMPRODUCT((Appels!P22:P22="?")*1)&gt;0,"?","NV")))</f>
        <v/>
      </c>
      <c r="M21" s="6">
        <f>IF(COUNTIFS(Appels!Q22:Q22,"P")&gt;0,"P",IF(SUMPRODUCT((Appels!Q22:Q22="P*")*1)&gt;0,"P*",IF(SUMPRODUCT((Appels!Q22:Q22="?")*1)&gt;0,"?","NV")))</f>
        <v/>
      </c>
      <c r="N21" s="6">
        <f>COUNTIFS(E21:M21,"P")</f>
        <v/>
      </c>
      <c r="O21" s="6">
        <f>SUMPRODUCT((E21:M21="P*")*1)</f>
        <v/>
      </c>
    </row>
    <row r="22" ht="24" customHeight="1">
      <c r="A22" s="14" t="inlineStr">
        <is>
          <t>32694</t>
        </is>
      </c>
      <c r="B22" s="14" t="inlineStr">
        <is>
          <t>SAKO LADJI LOSSENY</t>
        </is>
      </c>
      <c r="C22" s="14" t="n"/>
      <c r="D22" s="14" t="n"/>
      <c r="E22" s="6">
        <f>IF(COUNTIFS(Appels!C23:C23,"P")&gt;0,"P",IF(SUMPRODUCT((Appels!C23:C23="P*")*1)&gt;0,"P*",IF(SUMPRODUCT((Appels!C23:C23="?")*1)&gt;0,"?","NV")))</f>
        <v/>
      </c>
      <c r="F22" s="6">
        <f>IF(COUNTIFS(Appels!D23:E23,"P")&gt;0,"P",IF(SUMPRODUCT((Appels!D23:E23="P*")*1)&gt;0,"P*",IF(SUMPRODUCT((Appels!D23:E23="?")*1)&gt;0,"?","NV")))</f>
        <v/>
      </c>
      <c r="G22" s="6">
        <f>IF(COUNTIFS(Appels!F23:F23,"P")&gt;0,"P",IF(SUMPRODUCT((Appels!F23:F23="P*")*1)&gt;0,"P*",IF(SUMPRODUCT((Appels!F23:F23="?")*1)&gt;0,"?","NV")))</f>
        <v/>
      </c>
      <c r="H22" s="6">
        <f>IF(COUNTIFS(Appels!G23:H23,"P")&gt;0,"P",IF(SUMPRODUCT((Appels!G23:H23="P*")*1)&gt;0,"P*",IF(SUMPRODUCT((Appels!G23:H23="?")*1)&gt;0,"?","NV")))</f>
        <v/>
      </c>
      <c r="I22" s="6">
        <f>IF(COUNTIFS(Appels!I23:J23,"P")&gt;0,"P",IF(SUMPRODUCT((Appels!I23:J23="P*")*1)&gt;0,"P*",IF(SUMPRODUCT((Appels!I23:J23="?")*1)&gt;0,"?","NV")))</f>
        <v/>
      </c>
      <c r="J22" s="6">
        <f>IF(COUNTIFS(Appels!K23:M23,"P")&gt;0,"P",IF(SUMPRODUCT((Appels!K23:M23="P*")*1)&gt;0,"P*",IF(SUMPRODUCT((Appels!K23:M23="?")*1)&gt;0,"?","NV")))</f>
        <v/>
      </c>
      <c r="K22" s="6">
        <f>IF(COUNTIFS(Appels!N23:O23,"P")&gt;0,"P",IF(SUMPRODUCT((Appels!N23:O23="P*")*1)&gt;0,"P*",IF(SUMPRODUCT((Appels!N23:O23="?")*1)&gt;0,"?","NV")))</f>
        <v/>
      </c>
      <c r="L22" s="6">
        <f>IF(COUNTIFS(Appels!P23:P23,"P")&gt;0,"P",IF(SUMPRODUCT((Appels!P23:P23="P*")*1)&gt;0,"P*",IF(SUMPRODUCT((Appels!P23:P23="?")*1)&gt;0,"?","NV")))</f>
        <v/>
      </c>
      <c r="M22" s="6">
        <f>IF(COUNTIFS(Appels!Q23:Q23,"P")&gt;0,"P",IF(SUMPRODUCT((Appels!Q23:Q23="P*")*1)&gt;0,"P*",IF(SUMPRODUCT((Appels!Q23:Q23="?")*1)&gt;0,"?","NV")))</f>
        <v/>
      </c>
      <c r="N22" s="6">
        <f>COUNTIFS(E22:M22,"P")</f>
        <v/>
      </c>
      <c r="O22" s="6">
        <f>SUMPRODUCT((E22:M22="P*")*1)</f>
        <v/>
      </c>
    </row>
    <row r="23" ht="24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 ht="24" customHeight="1">
      <c r="A24" s="9" t="n"/>
      <c r="B24" s="9" t="inlineStr">
        <is>
          <t>Présences identifiées (P)</t>
        </is>
      </c>
      <c r="C24" s="9" t="n"/>
      <c r="D24" s="9" t="n"/>
      <c r="E24" s="10">
        <f>COUNTIFS(E7:E22,"P")</f>
        <v/>
      </c>
      <c r="F24" s="10">
        <f>COUNTIFS(F7:F22,"P")</f>
        <v/>
      </c>
      <c r="G24" s="10">
        <f>COUNTIFS(G7:G22,"P")</f>
        <v/>
      </c>
      <c r="H24" s="10">
        <f>COUNTIFS(H7:H22,"P")</f>
        <v/>
      </c>
      <c r="I24" s="10">
        <f>COUNTIFS(I7:I22,"P")</f>
        <v/>
      </c>
      <c r="J24" s="10">
        <f>COUNTIFS(J7:J22,"P")</f>
        <v/>
      </c>
      <c r="K24" s="10">
        <f>COUNTIFS(K7:K22,"P")</f>
        <v/>
      </c>
      <c r="L24" s="17">
        <f>COUNTIFS(L7:L22,"P")</f>
        <v/>
      </c>
      <c r="M24" s="17">
        <f>COUNTIFS(M7:M22,"P")</f>
        <v/>
      </c>
    </row>
    <row r="25" ht="24" customHeight="1">
      <c r="A25" s="9" t="n"/>
      <c r="B25" s="9" t="inlineStr">
        <is>
          <t>Rapprochements probables (P*)</t>
        </is>
      </c>
      <c r="C25" s="9" t="n"/>
      <c r="D25" s="9" t="n"/>
      <c r="E25" s="10">
        <f>SUMPRODUCT((E7:E22="P*")*1)</f>
        <v/>
      </c>
      <c r="F25" s="10">
        <f>SUMPRODUCT((F7:F22="P*")*1)</f>
        <v/>
      </c>
      <c r="G25" s="10">
        <f>SUMPRODUCT((G7:G22="P*")*1)</f>
        <v/>
      </c>
      <c r="H25" s="10">
        <f>SUMPRODUCT((H7:H22="P*")*1)</f>
        <v/>
      </c>
      <c r="I25" s="10">
        <f>SUMPRODUCT((I7:I22="P*")*1)</f>
        <v/>
      </c>
      <c r="J25" s="10">
        <f>SUMPRODUCT((J7:J22="P*")*1)</f>
        <v/>
      </c>
      <c r="K25" s="10">
        <f>SUMPRODUCT((K7:K22="P*")*1)</f>
        <v/>
      </c>
      <c r="L25" s="17">
        <f>SUMPRODUCT((L7:L22="P*")*1)</f>
        <v/>
      </c>
      <c r="M25" s="17">
        <f>SUMPRODUCT((M7:M22="P*")*1)</f>
        <v/>
      </c>
    </row>
    <row r="26" ht="24" customHeight="1">
      <c r="A26" s="9" t="n"/>
      <c r="B26" s="9" t="inlineStr">
        <is>
          <t>Appels disponibles</t>
        </is>
      </c>
      <c r="C26" s="9" t="n"/>
      <c r="D26" s="9" t="n"/>
      <c r="E26" s="10" t="n">
        <v>1</v>
      </c>
      <c r="F26" s="10" t="n">
        <v>2</v>
      </c>
      <c r="G26" s="10" t="n">
        <v>1</v>
      </c>
      <c r="H26" s="10" t="n">
        <v>2</v>
      </c>
      <c r="I26" s="10" t="n">
        <v>2</v>
      </c>
      <c r="J26" s="10" t="n">
        <v>3</v>
      </c>
      <c r="K26" s="10" t="n">
        <v>2</v>
      </c>
      <c r="L26" s="17" t="n">
        <v>1</v>
      </c>
      <c r="M26" s="17" t="n">
        <v>1</v>
      </c>
    </row>
    <row r="27" ht="24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 ht="24" customHeight="1">
      <c r="A28" s="7" t="inlineStr">
        <is>
          <t>Noms non rattachés avec certitude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 ht="24" customHeight="1">
      <c r="A29" s="14" t="inlineStr">
        <is>
          <t>07/09/2026 — AKON CEDRIC EBRANDON OBOE : présent à 19:57, mais absent du fichier des 16 auditeurs.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 ht="24" customHeight="1">
      <c r="A30" s="14" t="inlineStr">
        <is>
          <t>14/09/2026 — Besdaaaaa : visible aux deux appels ; correspondance possible avec BESDALI YOHAN ARMSTRONG, à confirmer.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</row>
    <row r="31" ht="24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 ht="24" customHeight="1">
      <c r="A32" s="7" t="inlineStr">
        <is>
          <t>Rapprochements sur nom court (P*)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 ht="24" customHeight="1">
      <c r="A33" s="14" t="inlineStr">
        <is>
          <t>12/09 : AHOU → AKA AHOU GERVAISE NAOMI ; ALIMA → COULIBALY ALIMA VALERIE.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 ht="24" customHeight="1">
      <c r="A34" s="14" t="inlineStr">
        <is>
          <t>14, 15 et 19/09 : KACOU → KACOU AYA AGNES EMMANUELLA LESLIE. 19/09 : karl → AGBATO KARL VIANNEY EMMANUEL.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 ht="24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" customHeight="1">
      <c r="A36" s="14" t="inlineStr">
        <is>
          <t>BABA KOUROUMA est l'enseignant / organisateur de la réunion Teams. La capture du 13/09 montre un workflow, pas une réunion.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 ht="24" customHeight="1">
      <c r="A37" s="14" t="inlineStr">
        <is>
          <t>Les jours P et P* sont comptés séparément. La durée de présence et les absences définitives ne sont pas déduites des captures.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 ht="24" customHeight="1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</row>
    <row r="39" ht="24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</sheetData>
  <conditionalFormatting sqref="E7:K22">
    <cfRule type="cellIs" priority="1" operator="equal" dxfId="3">
      <formula>"P"</formula>
    </cfRule>
    <cfRule type="cellIs" priority="2" operator="equal" dxfId="2">
      <formula>"P*"</formula>
    </cfRule>
    <cfRule type="cellIs" priority="3" operator="equal" dxfId="1">
      <formula>"?"</formula>
    </cfRule>
    <cfRule type="cellIs" priority="4" operator="equal" dxfId="0">
      <formula>"NV"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9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8" sqref="C8"/>
    </sheetView>
  </sheetViews>
  <sheetFormatPr baseColWidth="8" defaultRowHeight="13.8"/>
  <cols>
    <col width="14" customWidth="1" min="1" max="1"/>
    <col width="48" customWidth="1" min="2" max="2"/>
    <col width="15" customWidth="1" min="3" max="15"/>
    <col width="13" customWidth="1" min="16" max="16"/>
    <col width="13" customWidth="1" min="17" max="17"/>
  </cols>
  <sheetData>
    <row r="1" ht="24" customHeight="1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30" customHeight="1">
      <c r="A2" s="2" t="inlineStr">
        <is>
          <t>Détail des appels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</row>
    <row r="3" ht="24" customHeight="1">
      <c r="A3" s="14" t="inlineStr">
        <is>
          <t>Les captures identiques ou complémentaires très proches sont regroupées. Les relevés différents sont conservés.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24" customHeight="1">
      <c r="A4" s="14" t="inlineStr">
        <is>
          <t>Le 15/09, les relevés de 18:30 et 18:31 sont séparés car deux participants supplémentaires apparaissent.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</row>
    <row r="5" ht="24" customHeight="1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24" customHeight="1">
      <c r="A6" s="15" t="inlineStr">
        <is>
          <t>Matricule</t>
        </is>
      </c>
      <c r="B6" s="15" t="inlineStr">
        <is>
          <t>Nom et prénom</t>
        </is>
      </c>
      <c r="C6" s="5" t="n">
        <v>46272</v>
      </c>
      <c r="D6" s="5" t="n">
        <v>46273</v>
      </c>
      <c r="E6" s="5" t="n">
        <v>46273</v>
      </c>
      <c r="F6" s="5" t="n">
        <v>46276</v>
      </c>
      <c r="G6" s="5" t="n">
        <v>46277</v>
      </c>
      <c r="H6" s="5" t="n">
        <v>46277</v>
      </c>
      <c r="I6" s="5" t="n">
        <v>46279</v>
      </c>
      <c r="J6" s="5" t="n">
        <v>46279</v>
      </c>
      <c r="K6" s="5" t="n">
        <v>46280</v>
      </c>
      <c r="L6" s="5" t="n">
        <v>46280</v>
      </c>
      <c r="M6" s="5" t="n">
        <v>46280</v>
      </c>
      <c r="N6" s="5" t="n">
        <v>46284</v>
      </c>
      <c r="O6" s="5" t="n">
        <v>46284</v>
      </c>
      <c r="P6" s="5" t="n">
        <v>46286</v>
      </c>
      <c r="Q6" s="5" t="n">
        <v>46287</v>
      </c>
    </row>
    <row r="7" ht="43.95" customHeight="1">
      <c r="A7" s="15" t="n"/>
      <c r="B7" s="15" t="n"/>
      <c r="C7" s="15" t="inlineStr">
        <is>
          <t>Appel 1
19:57</t>
        </is>
      </c>
      <c r="D7" s="15" t="inlineStr">
        <is>
          <t>Appel 1
18:28–18:30</t>
        </is>
      </c>
      <c r="E7" s="15" t="inlineStr">
        <is>
          <t>Appel 2
20:06</t>
        </is>
      </c>
      <c r="F7" s="15" t="inlineStr">
        <is>
          <t>Appel 1
18:33</t>
        </is>
      </c>
      <c r="G7" s="15" t="inlineStr">
        <is>
          <t>Appel 1
10:36</t>
        </is>
      </c>
      <c r="H7" s="15" t="inlineStr">
        <is>
          <t>Appel 2
11:55</t>
        </is>
      </c>
      <c r="I7" s="15" t="inlineStr">
        <is>
          <t>Appel 1
18:47</t>
        </is>
      </c>
      <c r="J7" s="15" t="inlineStr">
        <is>
          <t>Appel 2
20:17</t>
        </is>
      </c>
      <c r="K7" s="15" t="inlineStr">
        <is>
          <t>Appel 1
18:30</t>
        </is>
      </c>
      <c r="L7" s="15" t="inlineStr">
        <is>
          <t>Appel 2
18:31</t>
        </is>
      </c>
      <c r="M7" s="15" t="inlineStr">
        <is>
          <t>Appel 3
19:56</t>
        </is>
      </c>
      <c r="N7" s="15" t="inlineStr">
        <is>
          <t>Appel 1
08:32</t>
        </is>
      </c>
      <c r="O7" s="15" t="inlineStr">
        <is>
          <t>Appel 2
12:03</t>
        </is>
      </c>
      <c r="P7" s="15" t="inlineStr">
        <is>
          <t>Appel 1
19:44</t>
        </is>
      </c>
      <c r="Q7" s="15" t="inlineStr">
        <is>
          <t>Appel 1
18:22</t>
        </is>
      </c>
    </row>
    <row r="8" ht="24" customHeight="1">
      <c r="A8" s="14" t="inlineStr">
        <is>
          <t>33021</t>
        </is>
      </c>
      <c r="B8" s="14" t="inlineStr">
        <is>
          <t>AGBATO KARL VIANNEY EMMANUEL</t>
        </is>
      </c>
      <c r="C8" s="6" t="inlineStr">
        <is>
          <t>P</t>
        </is>
      </c>
      <c r="D8" s="6" t="inlineStr">
        <is>
          <t>NV</t>
        </is>
      </c>
      <c r="E8" s="6" t="inlineStr">
        <is>
          <t>P</t>
        </is>
      </c>
      <c r="F8" s="6" t="inlineStr">
        <is>
          <t>P</t>
        </is>
      </c>
      <c r="G8" s="6" t="inlineStr">
        <is>
          <t>NV</t>
        </is>
      </c>
      <c r="H8" s="6" t="inlineStr">
        <is>
          <t>NV</t>
        </is>
      </c>
      <c r="I8" s="6" t="inlineStr">
        <is>
          <t>P</t>
        </is>
      </c>
      <c r="J8" s="6" t="inlineStr">
        <is>
          <t>P</t>
        </is>
      </c>
      <c r="K8" s="6" t="inlineStr">
        <is>
          <t>NV</t>
        </is>
      </c>
      <c r="L8" s="6" t="inlineStr">
        <is>
          <t>NV</t>
        </is>
      </c>
      <c r="M8" s="6" t="inlineStr">
        <is>
          <t>P</t>
        </is>
      </c>
      <c r="N8" s="6" t="inlineStr">
        <is>
          <t>NV</t>
        </is>
      </c>
      <c r="O8" s="6" t="inlineStr">
        <is>
          <t>P*</t>
        </is>
      </c>
      <c r="P8" s="6" t="inlineStr">
        <is>
          <t>P</t>
        </is>
      </c>
      <c r="Q8" s="6" t="inlineStr">
        <is>
          <t>NV</t>
        </is>
      </c>
    </row>
    <row r="9" ht="24" customHeight="1">
      <c r="A9" s="14" t="inlineStr">
        <is>
          <t>32260</t>
        </is>
      </c>
      <c r="B9" s="14" t="inlineStr">
        <is>
          <t>AKA AHOU GERVAISE NAOMI</t>
        </is>
      </c>
      <c r="C9" s="6" t="inlineStr">
        <is>
          <t>P</t>
        </is>
      </c>
      <c r="D9" s="6" t="inlineStr">
        <is>
          <t>NV</t>
        </is>
      </c>
      <c r="E9" s="6" t="inlineStr">
        <is>
          <t>P</t>
        </is>
      </c>
      <c r="F9" s="6" t="inlineStr">
        <is>
          <t>NV</t>
        </is>
      </c>
      <c r="G9" s="6" t="inlineStr">
        <is>
          <t>P*</t>
        </is>
      </c>
      <c r="H9" s="6" t="inlineStr">
        <is>
          <t>P*</t>
        </is>
      </c>
      <c r="I9" s="6" t="inlineStr">
        <is>
          <t>NV</t>
        </is>
      </c>
      <c r="J9" s="6" t="inlineStr">
        <is>
          <t>P</t>
        </is>
      </c>
      <c r="K9" s="6" t="inlineStr">
        <is>
          <t>NV</t>
        </is>
      </c>
      <c r="L9" s="6" t="inlineStr">
        <is>
          <t>NV</t>
        </is>
      </c>
      <c r="M9" s="6" t="inlineStr">
        <is>
          <t>NV</t>
        </is>
      </c>
      <c r="N9" s="6" t="inlineStr">
        <is>
          <t>NV</t>
        </is>
      </c>
      <c r="O9" s="6" t="inlineStr">
        <is>
          <t>NV</t>
        </is>
      </c>
      <c r="P9" s="6" t="inlineStr">
        <is>
          <t>NV</t>
        </is>
      </c>
      <c r="Q9" s="6" t="inlineStr">
        <is>
          <t>NV</t>
        </is>
      </c>
    </row>
    <row r="10" ht="24" customHeight="1">
      <c r="A10" s="14" t="inlineStr">
        <is>
          <t>33055</t>
        </is>
      </c>
      <c r="B10" s="14" t="inlineStr">
        <is>
          <t>BAKARE MARIAM</t>
        </is>
      </c>
      <c r="C10" s="6" t="inlineStr">
        <is>
          <t>P</t>
        </is>
      </c>
      <c r="D10" s="6" t="inlineStr">
        <is>
          <t>NV</t>
        </is>
      </c>
      <c r="E10" s="6" t="inlineStr">
        <is>
          <t>P</t>
        </is>
      </c>
      <c r="F10" s="6" t="inlineStr">
        <is>
          <t>P</t>
        </is>
      </c>
      <c r="G10" s="6" t="inlineStr">
        <is>
          <t>P</t>
        </is>
      </c>
      <c r="H10" s="6" t="inlineStr">
        <is>
          <t>P</t>
        </is>
      </c>
      <c r="I10" s="6" t="inlineStr">
        <is>
          <t>P</t>
        </is>
      </c>
      <c r="J10" s="6" t="inlineStr">
        <is>
          <t>NV</t>
        </is>
      </c>
      <c r="K10" s="6" t="inlineStr">
        <is>
          <t>P</t>
        </is>
      </c>
      <c r="L10" s="6" t="inlineStr">
        <is>
          <t>P</t>
        </is>
      </c>
      <c r="M10" s="6" t="inlineStr">
        <is>
          <t>P</t>
        </is>
      </c>
      <c r="N10" s="6" t="inlineStr">
        <is>
          <t>P</t>
        </is>
      </c>
      <c r="O10" s="6" t="inlineStr">
        <is>
          <t>P</t>
        </is>
      </c>
      <c r="P10" s="6" t="inlineStr">
        <is>
          <t>P</t>
        </is>
      </c>
      <c r="Q10" s="6" t="inlineStr">
        <is>
          <t>P</t>
        </is>
      </c>
    </row>
    <row r="11" ht="24" customHeight="1">
      <c r="A11" s="14" t="inlineStr">
        <is>
          <t>33592</t>
        </is>
      </c>
      <c r="B11" s="14" t="inlineStr">
        <is>
          <t>BAMBA MOHAMED</t>
        </is>
      </c>
      <c r="C11" s="6" t="inlineStr">
        <is>
          <t>P</t>
        </is>
      </c>
      <c r="D11" s="6" t="inlineStr">
        <is>
          <t>NV</t>
        </is>
      </c>
      <c r="E11" s="6" t="inlineStr">
        <is>
          <t>NV</t>
        </is>
      </c>
      <c r="F11" s="6" t="inlineStr">
        <is>
          <t>NV</t>
        </is>
      </c>
      <c r="G11" s="6" t="inlineStr">
        <is>
          <t>P</t>
        </is>
      </c>
      <c r="H11" s="6" t="inlineStr">
        <is>
          <t>P</t>
        </is>
      </c>
      <c r="I11" s="6" t="inlineStr">
        <is>
          <t>P</t>
        </is>
      </c>
      <c r="J11" s="6" t="inlineStr">
        <is>
          <t>P</t>
        </is>
      </c>
      <c r="K11" s="6" t="inlineStr">
        <is>
          <t>NV</t>
        </is>
      </c>
      <c r="L11" s="6" t="inlineStr">
        <is>
          <t>NV</t>
        </is>
      </c>
      <c r="M11" s="6" t="inlineStr">
        <is>
          <t>P</t>
        </is>
      </c>
      <c r="N11" s="6" t="inlineStr">
        <is>
          <t>P</t>
        </is>
      </c>
      <c r="O11" s="6" t="inlineStr">
        <is>
          <t>NV</t>
        </is>
      </c>
      <c r="P11" s="6" t="inlineStr">
        <is>
          <t>NV</t>
        </is>
      </c>
      <c r="Q11" s="6" t="inlineStr">
        <is>
          <t>NV</t>
        </is>
      </c>
    </row>
    <row r="12" ht="24" customHeight="1">
      <c r="A12" s="14" t="inlineStr">
        <is>
          <t>32197</t>
        </is>
      </c>
      <c r="B12" s="14" t="inlineStr">
        <is>
          <t>BEKLOU HIEOUYA AUDE SAMIRAH</t>
        </is>
      </c>
      <c r="C12" s="6" t="inlineStr">
        <is>
          <t>P</t>
        </is>
      </c>
      <c r="D12" s="6" t="inlineStr">
        <is>
          <t>P</t>
        </is>
      </c>
      <c r="E12" s="6" t="inlineStr">
        <is>
          <t>P</t>
        </is>
      </c>
      <c r="F12" s="6" t="inlineStr">
        <is>
          <t>NV</t>
        </is>
      </c>
      <c r="G12" s="6" t="inlineStr">
        <is>
          <t>P</t>
        </is>
      </c>
      <c r="H12" s="6" t="inlineStr">
        <is>
          <t>P</t>
        </is>
      </c>
      <c r="I12" s="6" t="inlineStr">
        <is>
          <t>NV</t>
        </is>
      </c>
      <c r="J12" s="6" t="inlineStr">
        <is>
          <t>NV</t>
        </is>
      </c>
      <c r="K12" s="6" t="inlineStr">
        <is>
          <t>NV</t>
        </is>
      </c>
      <c r="L12" s="6" t="inlineStr">
        <is>
          <t>NV</t>
        </is>
      </c>
      <c r="M12" s="6" t="inlineStr">
        <is>
          <t>P</t>
        </is>
      </c>
      <c r="N12" s="6" t="inlineStr">
        <is>
          <t>NV</t>
        </is>
      </c>
      <c r="O12" s="6" t="inlineStr">
        <is>
          <t>P</t>
        </is>
      </c>
      <c r="P12" s="6" t="inlineStr">
        <is>
          <t>NV</t>
        </is>
      </c>
      <c r="Q12" s="6" t="inlineStr">
        <is>
          <t>NV</t>
        </is>
      </c>
    </row>
    <row r="13" ht="24" customHeight="1">
      <c r="A13" s="14" t="inlineStr">
        <is>
          <t>32688</t>
        </is>
      </c>
      <c r="B13" s="14" t="inlineStr">
        <is>
          <t>BESDALI YOHAN ARMSTRONG</t>
        </is>
      </c>
      <c r="C13" s="6" t="inlineStr">
        <is>
          <t>P</t>
        </is>
      </c>
      <c r="D13" s="6" t="inlineStr">
        <is>
          <t>NV</t>
        </is>
      </c>
      <c r="E13" s="6" t="inlineStr">
        <is>
          <t>NV</t>
        </is>
      </c>
      <c r="F13" s="6" t="inlineStr">
        <is>
          <t>P</t>
        </is>
      </c>
      <c r="G13" s="6" t="inlineStr">
        <is>
          <t>NV</t>
        </is>
      </c>
      <c r="H13" s="6" t="inlineStr">
        <is>
          <t>NV</t>
        </is>
      </c>
      <c r="I13" s="6" t="inlineStr">
        <is>
          <t>?</t>
        </is>
      </c>
      <c r="J13" s="6" t="inlineStr">
        <is>
          <t>?</t>
        </is>
      </c>
      <c r="K13" s="6" t="inlineStr">
        <is>
          <t>P</t>
        </is>
      </c>
      <c r="L13" s="6" t="inlineStr">
        <is>
          <t>P</t>
        </is>
      </c>
      <c r="M13" s="6" t="inlineStr">
        <is>
          <t>P</t>
        </is>
      </c>
      <c r="N13" s="6" t="inlineStr">
        <is>
          <t>NV</t>
        </is>
      </c>
      <c r="O13" s="6" t="inlineStr">
        <is>
          <t>NV</t>
        </is>
      </c>
      <c r="P13" s="6" t="inlineStr">
        <is>
          <t>P</t>
        </is>
      </c>
      <c r="Q13" s="6" t="inlineStr">
        <is>
          <t>P</t>
        </is>
      </c>
    </row>
    <row r="14" ht="24" customHeight="1">
      <c r="A14" s="14" t="inlineStr">
        <is>
          <t>33036</t>
        </is>
      </c>
      <c r="B14" s="14" t="inlineStr">
        <is>
          <t>BOUNDY ASSETOU IBRAHIM</t>
        </is>
      </c>
      <c r="C14" s="6" t="inlineStr">
        <is>
          <t>NV</t>
        </is>
      </c>
      <c r="D14" s="6" t="inlineStr">
        <is>
          <t>P</t>
        </is>
      </c>
      <c r="E14" s="6" t="inlineStr">
        <is>
          <t>P</t>
        </is>
      </c>
      <c r="F14" s="6" t="inlineStr">
        <is>
          <t>P</t>
        </is>
      </c>
      <c r="G14" s="6" t="inlineStr">
        <is>
          <t>P</t>
        </is>
      </c>
      <c r="H14" s="6" t="inlineStr">
        <is>
          <t>P</t>
        </is>
      </c>
      <c r="I14" s="6" t="inlineStr">
        <is>
          <t>P</t>
        </is>
      </c>
      <c r="J14" s="6" t="inlineStr">
        <is>
          <t>P</t>
        </is>
      </c>
      <c r="K14" s="6" t="inlineStr">
        <is>
          <t>P</t>
        </is>
      </c>
      <c r="L14" s="6" t="inlineStr">
        <is>
          <t>P</t>
        </is>
      </c>
      <c r="M14" s="6" t="inlineStr">
        <is>
          <t>P</t>
        </is>
      </c>
      <c r="N14" s="6" t="inlineStr">
        <is>
          <t>P</t>
        </is>
      </c>
      <c r="O14" s="6" t="inlineStr">
        <is>
          <t>P</t>
        </is>
      </c>
      <c r="P14" s="6" t="inlineStr">
        <is>
          <t>P</t>
        </is>
      </c>
      <c r="Q14" s="6" t="inlineStr">
        <is>
          <t>P</t>
        </is>
      </c>
    </row>
    <row r="15" ht="24" customHeight="1">
      <c r="A15" s="14" t="inlineStr">
        <is>
          <t>32365</t>
        </is>
      </c>
      <c r="B15" s="14" t="inlineStr">
        <is>
          <t>CAMARA OFFE KALPI ANGE-EMMANUEL</t>
        </is>
      </c>
      <c r="C15" s="6" t="inlineStr">
        <is>
          <t>P</t>
        </is>
      </c>
      <c r="D15" s="6" t="inlineStr">
        <is>
          <t>P</t>
        </is>
      </c>
      <c r="E15" s="6" t="inlineStr">
        <is>
          <t>NV</t>
        </is>
      </c>
      <c r="F15" s="6" t="inlineStr">
        <is>
          <t>P</t>
        </is>
      </c>
      <c r="G15" s="6" t="inlineStr">
        <is>
          <t>NV</t>
        </is>
      </c>
      <c r="H15" s="6" t="inlineStr">
        <is>
          <t>NV</t>
        </is>
      </c>
      <c r="I15" s="6" t="inlineStr">
        <is>
          <t>NV</t>
        </is>
      </c>
      <c r="J15" s="6" t="inlineStr">
        <is>
          <t>NV</t>
        </is>
      </c>
      <c r="K15" s="6" t="inlineStr">
        <is>
          <t>NV</t>
        </is>
      </c>
      <c r="L15" s="6" t="inlineStr">
        <is>
          <t>NV</t>
        </is>
      </c>
      <c r="M15" s="6" t="inlineStr">
        <is>
          <t>NV</t>
        </is>
      </c>
      <c r="N15" s="6" t="inlineStr">
        <is>
          <t>NV</t>
        </is>
      </c>
      <c r="O15" s="6" t="inlineStr">
        <is>
          <t>NV</t>
        </is>
      </c>
      <c r="P15" s="6" t="inlineStr">
        <is>
          <t>P</t>
        </is>
      </c>
      <c r="Q15" s="6" t="inlineStr">
        <is>
          <t>NV</t>
        </is>
      </c>
    </row>
    <row r="16" ht="24" customHeight="1">
      <c r="A16" s="14" t="inlineStr">
        <is>
          <t>32982</t>
        </is>
      </c>
      <c r="B16" s="14" t="inlineStr">
        <is>
          <t>COULIBALY ALIMA VALERIE</t>
        </is>
      </c>
      <c r="C16" s="6" t="inlineStr">
        <is>
          <t>NV</t>
        </is>
      </c>
      <c r="D16" s="6" t="inlineStr">
        <is>
          <t>NV</t>
        </is>
      </c>
      <c r="E16" s="6" t="inlineStr">
        <is>
          <t>P</t>
        </is>
      </c>
      <c r="F16" s="6" t="inlineStr">
        <is>
          <t>NV</t>
        </is>
      </c>
      <c r="G16" s="6" t="inlineStr">
        <is>
          <t>P*</t>
        </is>
      </c>
      <c r="H16" s="6" t="inlineStr">
        <is>
          <t>P*</t>
        </is>
      </c>
      <c r="I16" s="6" t="inlineStr">
        <is>
          <t>NV</t>
        </is>
      </c>
      <c r="J16" s="6" t="inlineStr">
        <is>
          <t>P</t>
        </is>
      </c>
      <c r="K16" s="6" t="inlineStr">
        <is>
          <t>NV</t>
        </is>
      </c>
      <c r="L16" s="6" t="inlineStr">
        <is>
          <t>NV</t>
        </is>
      </c>
      <c r="M16" s="6" t="inlineStr">
        <is>
          <t>P</t>
        </is>
      </c>
      <c r="N16" s="6" t="inlineStr">
        <is>
          <t>P</t>
        </is>
      </c>
      <c r="O16" s="6" t="inlineStr">
        <is>
          <t>P</t>
        </is>
      </c>
      <c r="P16" s="6" t="inlineStr">
        <is>
          <t>NV</t>
        </is>
      </c>
      <c r="Q16" s="6" t="inlineStr">
        <is>
          <t>NV</t>
        </is>
      </c>
    </row>
    <row r="17" ht="24" customHeight="1">
      <c r="A17" s="14" t="inlineStr">
        <is>
          <t>33042</t>
        </is>
      </c>
      <c r="B17" s="14" t="inlineStr">
        <is>
          <t>COULIBALY KADIDIATOU</t>
        </is>
      </c>
      <c r="C17" s="6" t="inlineStr">
        <is>
          <t>NV</t>
        </is>
      </c>
      <c r="D17" s="6" t="inlineStr">
        <is>
          <t>P</t>
        </is>
      </c>
      <c r="E17" s="6" t="inlineStr">
        <is>
          <t>P</t>
        </is>
      </c>
      <c r="F17" s="6" t="inlineStr">
        <is>
          <t>NV</t>
        </is>
      </c>
      <c r="G17" s="6" t="inlineStr">
        <is>
          <t>NV</t>
        </is>
      </c>
      <c r="H17" s="6" t="inlineStr">
        <is>
          <t>NV</t>
        </is>
      </c>
      <c r="I17" s="6" t="inlineStr">
        <is>
          <t>NV</t>
        </is>
      </c>
      <c r="J17" s="6" t="inlineStr">
        <is>
          <t>P</t>
        </is>
      </c>
      <c r="K17" s="6" t="inlineStr">
        <is>
          <t>NV</t>
        </is>
      </c>
      <c r="L17" s="6" t="inlineStr">
        <is>
          <t>P</t>
        </is>
      </c>
      <c r="M17" s="6" t="inlineStr">
        <is>
          <t>NV</t>
        </is>
      </c>
      <c r="N17" s="6" t="inlineStr">
        <is>
          <t>NV</t>
        </is>
      </c>
      <c r="O17" s="6" t="inlineStr">
        <is>
          <t>NV</t>
        </is>
      </c>
      <c r="P17" s="6" t="inlineStr">
        <is>
          <t>NV</t>
        </is>
      </c>
      <c r="Q17" s="6" t="inlineStr">
        <is>
          <t>NV</t>
        </is>
      </c>
    </row>
    <row r="18" ht="24" customHeight="1">
      <c r="A18" s="14" t="inlineStr">
        <is>
          <t>33596</t>
        </is>
      </c>
      <c r="B18" s="14" t="inlineStr">
        <is>
          <t>DIAKITE MODIBO</t>
        </is>
      </c>
      <c r="C18" s="6" t="inlineStr">
        <is>
          <t>P</t>
        </is>
      </c>
      <c r="D18" s="6" t="inlineStr">
        <is>
          <t>P</t>
        </is>
      </c>
      <c r="E18" s="6" t="inlineStr">
        <is>
          <t>P</t>
        </is>
      </c>
      <c r="F18" s="6" t="inlineStr">
        <is>
          <t>P</t>
        </is>
      </c>
      <c r="G18" s="6" t="inlineStr">
        <is>
          <t>NV</t>
        </is>
      </c>
      <c r="H18" s="6" t="inlineStr">
        <is>
          <t>P</t>
        </is>
      </c>
      <c r="I18" s="6" t="inlineStr">
        <is>
          <t>NV</t>
        </is>
      </c>
      <c r="J18" s="6" t="inlineStr">
        <is>
          <t>P</t>
        </is>
      </c>
      <c r="K18" s="6" t="inlineStr">
        <is>
          <t>NV</t>
        </is>
      </c>
      <c r="L18" s="6" t="inlineStr">
        <is>
          <t>NV</t>
        </is>
      </c>
      <c r="M18" s="6" t="inlineStr">
        <is>
          <t>P</t>
        </is>
      </c>
      <c r="N18" s="6" t="inlineStr">
        <is>
          <t>NV</t>
        </is>
      </c>
      <c r="O18" s="6" t="inlineStr">
        <is>
          <t>P</t>
        </is>
      </c>
      <c r="P18" s="6" t="inlineStr">
        <is>
          <t>P</t>
        </is>
      </c>
      <c r="Q18" s="6" t="inlineStr">
        <is>
          <t>NV</t>
        </is>
      </c>
    </row>
    <row r="19" ht="24" customHeight="1">
      <c r="A19" s="14" t="inlineStr">
        <is>
          <t>33614</t>
        </is>
      </c>
      <c r="B19" s="14" t="inlineStr">
        <is>
          <t>GBLA TONGA ELIEL</t>
        </is>
      </c>
      <c r="C19" s="6" t="inlineStr">
        <is>
          <t>P</t>
        </is>
      </c>
      <c r="D19" s="6" t="inlineStr">
        <is>
          <t>P</t>
        </is>
      </c>
      <c r="E19" s="6" t="inlineStr">
        <is>
          <t>P</t>
        </is>
      </c>
      <c r="F19" s="6" t="inlineStr">
        <is>
          <t>P</t>
        </is>
      </c>
      <c r="G19" s="6" t="inlineStr">
        <is>
          <t>P</t>
        </is>
      </c>
      <c r="H19" s="6" t="inlineStr">
        <is>
          <t>P</t>
        </is>
      </c>
      <c r="I19" s="6" t="inlineStr">
        <is>
          <t>P</t>
        </is>
      </c>
      <c r="J19" s="6" t="inlineStr">
        <is>
          <t>P</t>
        </is>
      </c>
      <c r="K19" s="6" t="inlineStr">
        <is>
          <t>NV</t>
        </is>
      </c>
      <c r="L19" s="6" t="inlineStr">
        <is>
          <t>NV</t>
        </is>
      </c>
      <c r="M19" s="6" t="inlineStr">
        <is>
          <t>P</t>
        </is>
      </c>
      <c r="N19" s="6" t="inlineStr">
        <is>
          <t>P</t>
        </is>
      </c>
      <c r="O19" s="6" t="inlineStr">
        <is>
          <t>P</t>
        </is>
      </c>
      <c r="P19" s="6" t="inlineStr">
        <is>
          <t>P</t>
        </is>
      </c>
      <c r="Q19" s="6" t="inlineStr">
        <is>
          <t>P</t>
        </is>
      </c>
    </row>
    <row r="20" ht="24" customHeight="1">
      <c r="A20" s="14" t="inlineStr">
        <is>
          <t>32945</t>
        </is>
      </c>
      <c r="B20" s="14" t="inlineStr">
        <is>
          <t>KACOU AYA AGNES EMMANUELLA LESLIE</t>
        </is>
      </c>
      <c r="C20" s="6" t="inlineStr">
        <is>
          <t>P</t>
        </is>
      </c>
      <c r="D20" s="6" t="inlineStr">
        <is>
          <t>NV</t>
        </is>
      </c>
      <c r="E20" s="6" t="inlineStr">
        <is>
          <t>P</t>
        </is>
      </c>
      <c r="F20" s="6" t="inlineStr">
        <is>
          <t>NV</t>
        </is>
      </c>
      <c r="G20" s="6" t="inlineStr">
        <is>
          <t>NV</t>
        </is>
      </c>
      <c r="H20" s="6" t="inlineStr">
        <is>
          <t>NV</t>
        </is>
      </c>
      <c r="I20" s="6" t="inlineStr">
        <is>
          <t>P*</t>
        </is>
      </c>
      <c r="J20" s="6" t="inlineStr">
        <is>
          <t>P*</t>
        </is>
      </c>
      <c r="K20" s="6" t="inlineStr">
        <is>
          <t>NV</t>
        </is>
      </c>
      <c r="L20" s="6" t="inlineStr">
        <is>
          <t>P*</t>
        </is>
      </c>
      <c r="M20" s="6" t="inlineStr">
        <is>
          <t>P*</t>
        </is>
      </c>
      <c r="N20" s="6" t="inlineStr">
        <is>
          <t>NV</t>
        </is>
      </c>
      <c r="O20" s="6" t="inlineStr">
        <is>
          <t>P*</t>
        </is>
      </c>
      <c r="P20" s="6" t="inlineStr">
        <is>
          <t>P</t>
        </is>
      </c>
      <c r="Q20" s="6" t="inlineStr">
        <is>
          <t>NV</t>
        </is>
      </c>
    </row>
    <row r="21" ht="24" customHeight="1">
      <c r="A21" s="14" t="inlineStr">
        <is>
          <t>32965</t>
        </is>
      </c>
      <c r="B21" s="14" t="inlineStr">
        <is>
          <t>N'GUESSAN KAMLAN GUY</t>
        </is>
      </c>
      <c r="C21" s="6" t="inlineStr">
        <is>
          <t>P</t>
        </is>
      </c>
      <c r="D21" s="6" t="inlineStr">
        <is>
          <t>NV</t>
        </is>
      </c>
      <c r="E21" s="6" t="inlineStr">
        <is>
          <t>P</t>
        </is>
      </c>
      <c r="F21" s="6" t="inlineStr">
        <is>
          <t>NV</t>
        </is>
      </c>
      <c r="G21" s="6" t="inlineStr">
        <is>
          <t>P</t>
        </is>
      </c>
      <c r="H21" s="6" t="inlineStr">
        <is>
          <t>P</t>
        </is>
      </c>
      <c r="I21" s="6" t="inlineStr">
        <is>
          <t>NV</t>
        </is>
      </c>
      <c r="J21" s="6" t="inlineStr">
        <is>
          <t>P</t>
        </is>
      </c>
      <c r="K21" s="6" t="inlineStr">
        <is>
          <t>NV</t>
        </is>
      </c>
      <c r="L21" s="6" t="inlineStr">
        <is>
          <t>NV</t>
        </is>
      </c>
      <c r="M21" s="6" t="inlineStr">
        <is>
          <t>P</t>
        </is>
      </c>
      <c r="N21" s="6" t="inlineStr">
        <is>
          <t>NV</t>
        </is>
      </c>
      <c r="O21" s="6" t="inlineStr">
        <is>
          <t>P</t>
        </is>
      </c>
      <c r="P21" s="6" t="inlineStr">
        <is>
          <t>P</t>
        </is>
      </c>
      <c r="Q21" s="6" t="inlineStr">
        <is>
          <t>NV</t>
        </is>
      </c>
    </row>
    <row r="22" ht="24" customHeight="1">
      <c r="A22" s="14" t="inlineStr">
        <is>
          <t>32926</t>
        </is>
      </c>
      <c r="B22" s="14" t="inlineStr">
        <is>
          <t>N'GUESSAN MOAYE FABRICE</t>
        </is>
      </c>
      <c r="C22" s="6" t="inlineStr">
        <is>
          <t>P</t>
        </is>
      </c>
      <c r="D22" s="6" t="inlineStr">
        <is>
          <t>NV</t>
        </is>
      </c>
      <c r="E22" s="6" t="inlineStr">
        <is>
          <t>P</t>
        </is>
      </c>
      <c r="F22" s="6" t="inlineStr">
        <is>
          <t>NV</t>
        </is>
      </c>
      <c r="G22" s="6" t="inlineStr">
        <is>
          <t>NV</t>
        </is>
      </c>
      <c r="H22" s="6" t="inlineStr">
        <is>
          <t>NV</t>
        </is>
      </c>
      <c r="I22" s="6" t="inlineStr">
        <is>
          <t>NV</t>
        </is>
      </c>
      <c r="J22" s="6" t="inlineStr">
        <is>
          <t>P</t>
        </is>
      </c>
      <c r="K22" s="6" t="inlineStr">
        <is>
          <t>P</t>
        </is>
      </c>
      <c r="L22" s="6" t="inlineStr">
        <is>
          <t>P</t>
        </is>
      </c>
      <c r="M22" s="6" t="inlineStr">
        <is>
          <t>NV</t>
        </is>
      </c>
      <c r="N22" s="6" t="inlineStr">
        <is>
          <t>NV</t>
        </is>
      </c>
      <c r="O22" s="6" t="inlineStr">
        <is>
          <t>NV</t>
        </is>
      </c>
      <c r="P22" s="6" t="inlineStr">
        <is>
          <t>NV</t>
        </is>
      </c>
      <c r="Q22" s="6" t="inlineStr">
        <is>
          <t>NV</t>
        </is>
      </c>
    </row>
    <row r="23" ht="24" customHeight="1">
      <c r="A23" s="14" t="inlineStr">
        <is>
          <t>32694</t>
        </is>
      </c>
      <c r="B23" s="14" t="inlineStr">
        <is>
          <t>SAKO LADJI LOSSENY</t>
        </is>
      </c>
      <c r="C23" s="6" t="inlineStr">
        <is>
          <t>P</t>
        </is>
      </c>
      <c r="D23" s="6" t="inlineStr">
        <is>
          <t>P</t>
        </is>
      </c>
      <c r="E23" s="6" t="inlineStr">
        <is>
          <t>P</t>
        </is>
      </c>
      <c r="F23" s="6" t="inlineStr">
        <is>
          <t>P</t>
        </is>
      </c>
      <c r="G23" s="6" t="inlineStr">
        <is>
          <t>NV</t>
        </is>
      </c>
      <c r="H23" s="6" t="inlineStr">
        <is>
          <t>NV</t>
        </is>
      </c>
      <c r="I23" s="6" t="inlineStr">
        <is>
          <t>P</t>
        </is>
      </c>
      <c r="J23" s="6" t="inlineStr">
        <is>
          <t>P</t>
        </is>
      </c>
      <c r="K23" s="6" t="inlineStr">
        <is>
          <t>NV</t>
        </is>
      </c>
      <c r="L23" s="6" t="inlineStr">
        <is>
          <t>NV</t>
        </is>
      </c>
      <c r="M23" s="6" t="inlineStr">
        <is>
          <t>P</t>
        </is>
      </c>
      <c r="N23" s="6" t="inlineStr">
        <is>
          <t>P</t>
        </is>
      </c>
      <c r="O23" s="6" t="inlineStr">
        <is>
          <t>P</t>
        </is>
      </c>
      <c r="P23" s="6" t="inlineStr">
        <is>
          <t>P</t>
        </is>
      </c>
      <c r="Q23" s="6" t="inlineStr">
        <is>
          <t>P</t>
        </is>
      </c>
    </row>
    <row r="24" ht="24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</row>
    <row r="25" ht="24" customHeight="1">
      <c r="A25" s="14" t="n"/>
      <c r="B25" s="14" t="inlineStr">
        <is>
          <t>Identifiés (P)</t>
        </is>
      </c>
      <c r="C25" s="14">
        <f>COUNTIFS(C8:C23,"P")</f>
        <v/>
      </c>
      <c r="D25" s="14">
        <f>COUNTIFS(D8:D23,"P")</f>
        <v/>
      </c>
      <c r="E25" s="14">
        <f>COUNTIFS(E8:E23,"P")</f>
        <v/>
      </c>
      <c r="F25" s="14">
        <f>COUNTIFS(F8:F23,"P")</f>
        <v/>
      </c>
      <c r="G25" s="14">
        <f>COUNTIFS(G8:G23,"P")</f>
        <v/>
      </c>
      <c r="H25" s="14">
        <f>COUNTIFS(H8:H23,"P")</f>
        <v/>
      </c>
      <c r="I25" s="14">
        <f>COUNTIFS(I8:I23,"P")</f>
        <v/>
      </c>
      <c r="J25" s="14">
        <f>COUNTIFS(J8:J23,"P")</f>
        <v/>
      </c>
      <c r="K25" s="14">
        <f>COUNTIFS(K8:K23,"P")</f>
        <v/>
      </c>
      <c r="L25" s="14">
        <f>COUNTIFS(L8:L23,"P")</f>
        <v/>
      </c>
      <c r="M25" s="14">
        <f>COUNTIFS(M8:M23,"P")</f>
        <v/>
      </c>
      <c r="N25" s="14">
        <f>COUNTIFS(N8:N23,"P")</f>
        <v/>
      </c>
      <c r="O25" s="14">
        <f>COUNTIFS(O8:O23,"P")</f>
        <v/>
      </c>
      <c r="P25" s="14">
        <f>COUNTIFS(P8:P23,"P")</f>
        <v/>
      </c>
      <c r="Q25" s="14">
        <f>COUNTIFS(Q8:Q23,"P")</f>
        <v/>
      </c>
    </row>
    <row r="26" ht="24" customHeight="1">
      <c r="A26" s="14" t="n"/>
      <c r="B26" s="14" t="inlineStr">
        <is>
          <t>Probables (P*)</t>
        </is>
      </c>
      <c r="C26" s="14">
        <f>SUMPRODUCT((C8:C23="P*")*1)</f>
        <v/>
      </c>
      <c r="D26" s="14">
        <f>SUMPRODUCT((D8:D23="P*")*1)</f>
        <v/>
      </c>
      <c r="E26" s="14">
        <f>SUMPRODUCT((E8:E23="P*")*1)</f>
        <v/>
      </c>
      <c r="F26" s="14">
        <f>SUMPRODUCT((F8:F23="P*")*1)</f>
        <v/>
      </c>
      <c r="G26" s="14">
        <f>SUMPRODUCT((G8:G23="P*")*1)</f>
        <v/>
      </c>
      <c r="H26" s="14">
        <f>SUMPRODUCT((H8:H23="P*")*1)</f>
        <v/>
      </c>
      <c r="I26" s="14">
        <f>SUMPRODUCT((I8:I23="P*")*1)</f>
        <v/>
      </c>
      <c r="J26" s="14">
        <f>SUMPRODUCT((J8:J23="P*")*1)</f>
        <v/>
      </c>
      <c r="K26" s="14">
        <f>SUMPRODUCT((K8:K23="P*")*1)</f>
        <v/>
      </c>
      <c r="L26" s="14">
        <f>SUMPRODUCT((L8:L23="P*")*1)</f>
        <v/>
      </c>
      <c r="M26" s="14">
        <f>SUMPRODUCT((M8:M23="P*")*1)</f>
        <v/>
      </c>
      <c r="N26" s="14">
        <f>SUMPRODUCT((N8:N23="P*")*1)</f>
        <v/>
      </c>
      <c r="O26" s="14">
        <f>SUMPRODUCT((O8:O23="P*")*1)</f>
        <v/>
      </c>
      <c r="P26" s="14">
        <f>SUMPRODUCT((P8:P23="P*")*1)</f>
        <v/>
      </c>
      <c r="Q26" s="14">
        <f>SUMPRODUCT((Q8:Q23="P*")*1)</f>
        <v/>
      </c>
    </row>
    <row r="27" ht="64.05" customHeight="1">
      <c r="A27" s="14" t="n"/>
      <c r="B27" s="14" t="inlineStr">
        <is>
          <t>Non rattachés</t>
        </is>
      </c>
      <c r="C27" s="8" t="inlineStr">
        <is>
          <t>AKON CEDRIC EBRANDON OBOE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—</t>
        </is>
      </c>
      <c r="I27" s="8" t="inlineStr">
        <is>
          <t>Besdaaaaa</t>
        </is>
      </c>
      <c r="J27" s="8" t="inlineStr">
        <is>
          <t>Besdaaaaa</t>
        </is>
      </c>
      <c r="K27" s="8" t="inlineStr">
        <is>
          <t>—</t>
        </is>
      </c>
      <c r="L27" s="8" t="inlineStr">
        <is>
          <t>—</t>
        </is>
      </c>
      <c r="M27" s="8" t="inlineStr">
        <is>
          <t>—</t>
        </is>
      </c>
      <c r="N27" s="8" t="inlineStr">
        <is>
          <t>—</t>
        </is>
      </c>
      <c r="O27" s="8" t="inlineStr">
        <is>
          <t>—</t>
        </is>
      </c>
      <c r="P27" s="8" t="inlineStr">
        <is>
          <t>—</t>
        </is>
      </c>
      <c r="Q27" s="8" t="inlineStr">
        <is>
          <t>—</t>
        </is>
      </c>
    </row>
    <row r="28" ht="24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 ht="24" customHeight="1">
      <c r="A29" s="7" t="inlineStr">
        <is>
          <t>Sources des appels (noms de fichiers)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</row>
    <row r="30" ht="24" customHeight="1">
      <c r="A30" s="15" t="inlineStr">
        <is>
          <t>Date</t>
        </is>
      </c>
      <c r="B30" s="15" t="inlineStr">
        <is>
          <t>Appel et heure</t>
        </is>
      </c>
      <c r="C30" s="15" t="inlineStr">
        <is>
          <t>Fichiers sources</t>
        </is>
      </c>
      <c r="H30" s="15" t="inlineStr">
        <is>
          <t>Traitement</t>
        </is>
      </c>
      <c r="K30" s="14" t="n"/>
      <c r="L30" s="14" t="n"/>
      <c r="M30" s="14" t="n"/>
      <c r="N30" s="14" t="n"/>
      <c r="O30" s="14" t="n"/>
    </row>
    <row r="31" ht="24" customHeight="1">
      <c r="A31" s="3" t="n">
        <v>46272</v>
      </c>
      <c r="B31" s="14" t="inlineStr">
        <is>
          <t>1 — 19:57</t>
        </is>
      </c>
      <c r="C31" s="14" t="inlineStr">
        <is>
          <t>Capture d'écran 2026-09-07 195708.png</t>
        </is>
      </c>
      <c r="H31" s="14" t="inlineStr">
        <is>
          <t>Relevé retenu</t>
        </is>
      </c>
      <c r="I31" s="14" t="n"/>
      <c r="J31" s="14" t="n"/>
      <c r="K31" s="14" t="n"/>
      <c r="L31" s="14" t="n"/>
      <c r="M31" s="14" t="n"/>
      <c r="N31" s="14" t="n"/>
      <c r="O31" s="14" t="n"/>
    </row>
    <row r="32" ht="24" customHeight="1">
      <c r="A32" s="3" t="n">
        <v>46272</v>
      </c>
      <c r="B32" s="14" t="inlineStr">
        <is>
          <t>1 — 19:57</t>
        </is>
      </c>
      <c r="C32" s="14" t="inlineStr">
        <is>
          <t>Capture d'écran 2026-09-07 195723.png</t>
        </is>
      </c>
      <c r="H32" s="14" t="inlineStr">
        <is>
          <t>Même appel</t>
        </is>
      </c>
      <c r="I32" s="14" t="n"/>
      <c r="J32" s="14" t="n"/>
      <c r="K32" s="14" t="n"/>
      <c r="L32" s="14" t="n"/>
      <c r="M32" s="14" t="n"/>
      <c r="N32" s="14" t="n"/>
      <c r="O32" s="14" t="n"/>
    </row>
    <row r="33" ht="24" customHeight="1">
      <c r="A33" s="3" t="n">
        <v>46272</v>
      </c>
      <c r="B33" s="14" t="inlineStr">
        <is>
          <t>1 — 19:57</t>
        </is>
      </c>
      <c r="C33" s="14" t="inlineStr">
        <is>
          <t>Capture d'écran 2026-09-07 195739.png</t>
        </is>
      </c>
      <c r="H33" s="14" t="inlineStr">
        <is>
          <t>Même appel</t>
        </is>
      </c>
      <c r="I33" s="14" t="n"/>
      <c r="J33" s="14" t="n"/>
      <c r="K33" s="14" t="n"/>
      <c r="L33" s="14" t="n"/>
      <c r="M33" s="14" t="n"/>
      <c r="N33" s="14" t="n"/>
      <c r="O33" s="14" t="n"/>
    </row>
    <row r="34" ht="24" customHeight="1">
      <c r="A34" s="3" t="n">
        <v>46273</v>
      </c>
      <c r="B34" s="14" t="inlineStr">
        <is>
          <t>1 — 18:28–18:30</t>
        </is>
      </c>
      <c r="C34" s="14" t="inlineStr">
        <is>
          <t>Capture d'écran 2026-09-08 182811.png</t>
        </is>
      </c>
      <c r="H34" s="14" t="inlineStr">
        <is>
          <t>Relevé retenu</t>
        </is>
      </c>
      <c r="I34" s="14" t="n"/>
      <c r="J34" s="14" t="n"/>
      <c r="K34" s="14" t="n"/>
      <c r="L34" s="14" t="n"/>
      <c r="M34" s="14" t="n"/>
      <c r="N34" s="14" t="n"/>
      <c r="O34" s="14" t="n"/>
    </row>
    <row r="35" ht="24" customHeight="1">
      <c r="A35" s="3" t="n">
        <v>46273</v>
      </c>
      <c r="B35" s="14" t="inlineStr">
        <is>
          <t>1 — 18:28–18:30</t>
        </is>
      </c>
      <c r="C35" s="14" t="inlineStr">
        <is>
          <t>Capture d'écran 2026-09-08 182907.png</t>
        </is>
      </c>
      <c r="H35" s="14" t="inlineStr">
        <is>
          <t>Même appel</t>
        </is>
      </c>
      <c r="I35" s="14" t="n"/>
      <c r="J35" s="14" t="n"/>
      <c r="K35" s="14" t="n"/>
      <c r="L35" s="14" t="n"/>
      <c r="M35" s="14" t="n"/>
      <c r="N35" s="14" t="n"/>
      <c r="O35" s="14" t="n"/>
    </row>
    <row r="36" ht="24" customHeight="1">
      <c r="A36" s="3" t="n">
        <v>46273</v>
      </c>
      <c r="B36" s="14" t="inlineStr">
        <is>
          <t>1 — 18:28–18:30</t>
        </is>
      </c>
      <c r="C36" s="14" t="inlineStr">
        <is>
          <t>Capture d'écran 2026-09-08 182956.png</t>
        </is>
      </c>
      <c r="H36" s="14" t="inlineStr">
        <is>
          <t>Même appel</t>
        </is>
      </c>
      <c r="I36" s="14" t="n"/>
      <c r="J36" s="14" t="n"/>
      <c r="K36" s="14" t="n"/>
      <c r="L36" s="14" t="n"/>
      <c r="M36" s="14" t="n"/>
      <c r="N36" s="14" t="n"/>
      <c r="O36" s="14" t="n"/>
    </row>
    <row r="37" ht="24" customHeight="1">
      <c r="A37" s="3" t="n">
        <v>46273</v>
      </c>
      <c r="B37" s="14" t="inlineStr">
        <is>
          <t>1 — 18:28–18:30</t>
        </is>
      </c>
      <c r="C37" s="14" t="inlineStr">
        <is>
          <t>Capture d'écran 2026-09-08 183010.png</t>
        </is>
      </c>
      <c r="H37" s="14" t="inlineStr">
        <is>
          <t>Même appel</t>
        </is>
      </c>
      <c r="I37" s="14" t="n"/>
      <c r="J37" s="14" t="n"/>
      <c r="K37" s="14" t="n"/>
      <c r="L37" s="14" t="n"/>
      <c r="M37" s="14" t="n"/>
      <c r="N37" s="14" t="n"/>
      <c r="O37" s="14" t="n"/>
    </row>
    <row r="38" ht="24" customHeight="1">
      <c r="A38" s="3" t="n">
        <v>46273</v>
      </c>
      <c r="B38" s="14" t="inlineStr">
        <is>
          <t>1 — 18:28–18:30</t>
        </is>
      </c>
      <c r="C38" s="14" t="inlineStr">
        <is>
          <t>presence 08092026 - 1.png</t>
        </is>
      </c>
      <c r="H38" s="14" t="inlineStr">
        <is>
          <t>Même appel</t>
        </is>
      </c>
      <c r="I38" s="14" t="n"/>
      <c r="J38" s="14" t="n"/>
      <c r="K38" s="14" t="n"/>
      <c r="L38" s="14" t="n"/>
      <c r="M38" s="14" t="n"/>
      <c r="N38" s="14" t="n"/>
      <c r="O38" s="14" t="n"/>
    </row>
    <row r="39" ht="24" customHeight="1">
      <c r="A39" s="3" t="n">
        <v>46273</v>
      </c>
      <c r="B39" s="14" t="inlineStr">
        <is>
          <t>2 — 20:06</t>
        </is>
      </c>
      <c r="C39" s="14" t="inlineStr">
        <is>
          <t>Capture d'écran 2026-09-08 200606.png</t>
        </is>
      </c>
      <c r="H39" s="14" t="inlineStr">
        <is>
          <t>Relevé retenu</t>
        </is>
      </c>
      <c r="I39" s="14" t="n"/>
      <c r="J39" s="14" t="n"/>
      <c r="K39" s="14" t="n"/>
      <c r="L39" s="14" t="n"/>
      <c r="M39" s="14" t="n"/>
      <c r="N39" s="14" t="n"/>
      <c r="O39" s="14" t="n"/>
    </row>
    <row r="40" ht="24" customHeight="1">
      <c r="A40" s="3" t="n">
        <v>46273</v>
      </c>
      <c r="B40" s="14" t="inlineStr">
        <is>
          <t>2 — 20:06</t>
        </is>
      </c>
      <c r="C40" s="14" t="inlineStr">
        <is>
          <t>Capture d'écran 2026-09-08 200617.png</t>
        </is>
      </c>
      <c r="H40" s="14" t="inlineStr">
        <is>
          <t>Même appel</t>
        </is>
      </c>
      <c r="I40" s="14" t="n"/>
      <c r="J40" s="14" t="n"/>
      <c r="K40" s="14" t="n"/>
      <c r="L40" s="14" t="n"/>
      <c r="M40" s="14" t="n"/>
      <c r="N40" s="14" t="n"/>
      <c r="O40" s="14" t="n"/>
    </row>
    <row r="41" ht="24" customHeight="1">
      <c r="A41" s="3" t="n">
        <v>46273</v>
      </c>
      <c r="B41" s="14" t="inlineStr">
        <is>
          <t>2 — 20:06</t>
        </is>
      </c>
      <c r="C41" s="14" t="inlineStr">
        <is>
          <t>presence 08092026 - 2.png</t>
        </is>
      </c>
      <c r="H41" s="14" t="inlineStr">
        <is>
          <t>Même appel</t>
        </is>
      </c>
      <c r="I41" s="14" t="n"/>
      <c r="J41" s="14" t="n"/>
      <c r="K41" s="14" t="n"/>
      <c r="L41" s="14" t="n"/>
      <c r="M41" s="14" t="n"/>
      <c r="N41" s="14" t="n"/>
      <c r="O41" s="14" t="n"/>
    </row>
    <row r="42" ht="24" customHeight="1">
      <c r="A42" s="3" t="n">
        <v>46276</v>
      </c>
      <c r="B42" s="14" t="inlineStr">
        <is>
          <t>1 — 18:33</t>
        </is>
      </c>
      <c r="C42" s="14" t="inlineStr">
        <is>
          <t>Capture d'écran 2026-09-11 183348.png</t>
        </is>
      </c>
      <c r="H42" s="14" t="inlineStr">
        <is>
          <t>Relevé retenu</t>
        </is>
      </c>
      <c r="I42" s="14" t="n"/>
      <c r="J42" s="14" t="n"/>
      <c r="K42" s="14" t="n"/>
      <c r="L42" s="14" t="n"/>
      <c r="M42" s="14" t="n"/>
      <c r="N42" s="14" t="n"/>
      <c r="O42" s="14" t="n"/>
    </row>
    <row r="43" ht="24" customHeight="1">
      <c r="A43" s="3" t="n">
        <v>46276</v>
      </c>
      <c r="B43" s="14" t="inlineStr">
        <is>
          <t>1 — 18:33</t>
        </is>
      </c>
      <c r="C43" s="14" t="inlineStr">
        <is>
          <t>presence 11092026 - 1.png</t>
        </is>
      </c>
      <c r="H43" s="14" t="inlineStr">
        <is>
          <t>Même appel</t>
        </is>
      </c>
      <c r="I43" s="14" t="n"/>
      <c r="J43" s="14" t="n"/>
      <c r="K43" s="14" t="n"/>
      <c r="L43" s="14" t="n"/>
      <c r="M43" s="14" t="n"/>
      <c r="N43" s="14" t="n"/>
      <c r="O43" s="14" t="n"/>
    </row>
    <row r="44" ht="24" customHeight="1">
      <c r="A44" s="3" t="n">
        <v>46277</v>
      </c>
      <c r="B44" s="14" t="inlineStr">
        <is>
          <t>1 — 10:36</t>
        </is>
      </c>
      <c r="C44" s="14" t="inlineStr">
        <is>
          <t>Capture d'écran 2026-09-12 103629.png</t>
        </is>
      </c>
      <c r="H44" s="14" t="inlineStr">
        <is>
          <t>Relevé retenu</t>
        </is>
      </c>
      <c r="I44" s="14" t="n"/>
      <c r="J44" s="14" t="n"/>
      <c r="K44" s="14" t="n"/>
      <c r="L44" s="14" t="n"/>
      <c r="M44" s="14" t="n"/>
      <c r="N44" s="14" t="n"/>
      <c r="O44" s="14" t="n"/>
    </row>
    <row r="45" ht="24" customHeight="1">
      <c r="A45" s="3" t="n">
        <v>46277</v>
      </c>
      <c r="B45" s="14" t="inlineStr">
        <is>
          <t>1 — 10:36</t>
        </is>
      </c>
      <c r="C45" s="14" t="inlineStr">
        <is>
          <t>presence 12092026 - 1.png</t>
        </is>
      </c>
      <c r="H45" s="14" t="inlineStr">
        <is>
          <t>Même appel</t>
        </is>
      </c>
      <c r="I45" s="14" t="n"/>
      <c r="J45" s="14" t="n"/>
      <c r="K45" s="14" t="n"/>
      <c r="L45" s="14" t="n"/>
      <c r="M45" s="14" t="n"/>
      <c r="N45" s="14" t="n"/>
      <c r="O45" s="14" t="n"/>
    </row>
    <row r="46" ht="24" customHeight="1">
      <c r="A46" s="3" t="n">
        <v>46277</v>
      </c>
      <c r="B46" s="14" t="inlineStr">
        <is>
          <t>2 — 11:55</t>
        </is>
      </c>
      <c r="C46" s="14" t="inlineStr">
        <is>
          <t>Capture d'écran 2026-09-12 115557.png</t>
        </is>
      </c>
      <c r="H46" s="14" t="inlineStr">
        <is>
          <t>Relevé retenu</t>
        </is>
      </c>
      <c r="I46" s="14" t="n"/>
      <c r="J46" s="14" t="n"/>
      <c r="K46" s="14" t="n"/>
      <c r="L46" s="14" t="n"/>
      <c r="M46" s="14" t="n"/>
      <c r="N46" s="14" t="n"/>
      <c r="O46" s="14" t="n"/>
    </row>
    <row r="47" ht="24" customHeight="1">
      <c r="A47" s="3" t="n">
        <v>46277</v>
      </c>
      <c r="B47" s="14" t="inlineStr">
        <is>
          <t>2 — 11:55</t>
        </is>
      </c>
      <c r="C47" s="14" t="inlineStr">
        <is>
          <t>presence 12092026 - 2.png</t>
        </is>
      </c>
      <c r="H47" s="14" t="inlineStr">
        <is>
          <t>Même appel</t>
        </is>
      </c>
      <c r="I47" s="14" t="n"/>
      <c r="J47" s="14" t="n"/>
      <c r="K47" s="14" t="n"/>
      <c r="L47" s="14" t="n"/>
      <c r="M47" s="14" t="n"/>
      <c r="N47" s="14" t="n"/>
      <c r="O47" s="14" t="n"/>
    </row>
    <row r="48" ht="24" customHeight="1">
      <c r="A48" s="3" t="n">
        <v>46279</v>
      </c>
      <c r="B48" s="14" t="inlineStr">
        <is>
          <t>1 — 18:47</t>
        </is>
      </c>
      <c r="C48" s="14" t="inlineStr">
        <is>
          <t>Capture d'écran 2026-09-14 184726.png</t>
        </is>
      </c>
      <c r="H48" s="14" t="inlineStr">
        <is>
          <t>Relevé retenu</t>
        </is>
      </c>
      <c r="I48" s="14" t="n"/>
      <c r="J48" s="14" t="n"/>
      <c r="K48" s="14" t="n"/>
      <c r="L48" s="14" t="n"/>
      <c r="M48" s="14" t="n"/>
      <c r="N48" s="14" t="n"/>
      <c r="O48" s="14" t="n"/>
    </row>
    <row r="49" ht="24" customHeight="1">
      <c r="A49" s="3" t="n">
        <v>46279</v>
      </c>
      <c r="B49" s="14" t="inlineStr">
        <is>
          <t>1 — 18:47</t>
        </is>
      </c>
      <c r="C49" s="14" t="inlineStr">
        <is>
          <t>liste presence 14092026.png</t>
        </is>
      </c>
      <c r="H49" s="14" t="inlineStr">
        <is>
          <t>Même appel</t>
        </is>
      </c>
      <c r="I49" s="14" t="n"/>
      <c r="J49" s="14" t="n"/>
      <c r="K49" s="14" t="n"/>
      <c r="L49" s="14" t="n"/>
      <c r="M49" s="14" t="n"/>
      <c r="N49" s="14" t="n"/>
      <c r="O49" s="14" t="n"/>
    </row>
    <row r="50" ht="24" customHeight="1">
      <c r="A50" s="3" t="n">
        <v>46279</v>
      </c>
      <c r="B50" s="14" t="inlineStr">
        <is>
          <t>2 — 20:17</t>
        </is>
      </c>
      <c r="C50" s="14" t="inlineStr">
        <is>
          <t>Capture d'écran 2026-09-14 201700.png</t>
        </is>
      </c>
      <c r="H50" s="14" t="inlineStr">
        <is>
          <t>Relevé retenu</t>
        </is>
      </c>
      <c r="I50" s="14" t="n"/>
      <c r="J50" s="14" t="n"/>
      <c r="K50" s="14" t="n"/>
      <c r="L50" s="14" t="n"/>
      <c r="M50" s="14" t="n"/>
      <c r="N50" s="14" t="n"/>
      <c r="O50" s="14" t="n"/>
    </row>
    <row r="51" ht="24" customHeight="1">
      <c r="A51" s="3" t="n">
        <v>46279</v>
      </c>
      <c r="B51" s="14" t="inlineStr">
        <is>
          <t>2 — 20:17</t>
        </is>
      </c>
      <c r="C51" s="14" t="inlineStr">
        <is>
          <t>presence 14092026 - 2.png</t>
        </is>
      </c>
      <c r="H51" s="14" t="inlineStr">
        <is>
          <t>Même appel</t>
        </is>
      </c>
      <c r="I51" s="14" t="n"/>
      <c r="J51" s="14" t="n"/>
      <c r="K51" s="14" t="n"/>
      <c r="L51" s="14" t="n"/>
      <c r="M51" s="14" t="n"/>
      <c r="N51" s="14" t="n"/>
      <c r="O51" s="14" t="n"/>
    </row>
    <row r="52" ht="24" customHeight="1">
      <c r="A52" s="3" t="n">
        <v>46280</v>
      </c>
      <c r="B52" s="14" t="inlineStr">
        <is>
          <t>1 — 18:30</t>
        </is>
      </c>
      <c r="C52" s="14" t="inlineStr">
        <is>
          <t>Capture d'écran 2026-09-15 183014.png</t>
        </is>
      </c>
      <c r="H52" s="14" t="inlineStr">
        <is>
          <t>Relevé retenu</t>
        </is>
      </c>
      <c r="I52" s="14" t="n"/>
      <c r="J52" s="14" t="n"/>
      <c r="K52" s="14" t="n"/>
      <c r="L52" s="14" t="n"/>
      <c r="M52" s="14" t="n"/>
      <c r="N52" s="14" t="n"/>
      <c r="O52" s="14" t="n"/>
    </row>
    <row r="53" ht="24" customHeight="1">
      <c r="A53" s="3" t="n">
        <v>46280</v>
      </c>
      <c r="B53" s="14" t="inlineStr">
        <is>
          <t>2 — 18:31</t>
        </is>
      </c>
      <c r="C53" s="14" t="inlineStr">
        <is>
          <t>Capture d'écran 2026-09-15 183150.png</t>
        </is>
      </c>
      <c r="H53" s="14" t="inlineStr">
        <is>
          <t>Relevé retenu</t>
        </is>
      </c>
      <c r="I53" s="14" t="n"/>
      <c r="J53" s="14" t="n"/>
      <c r="K53" s="14" t="n"/>
      <c r="L53" s="14" t="n"/>
      <c r="M53" s="14" t="n"/>
      <c r="N53" s="14" t="n"/>
      <c r="O53" s="14" t="n"/>
    </row>
    <row r="54" ht="24" customHeight="1">
      <c r="A54" s="3" t="n">
        <v>46280</v>
      </c>
      <c r="B54" s="14" t="inlineStr">
        <is>
          <t>2 — 18:31</t>
        </is>
      </c>
      <c r="C54" s="14" t="inlineStr">
        <is>
          <t>presence 15092026 - 1.png</t>
        </is>
      </c>
      <c r="H54" s="14" t="inlineStr">
        <is>
          <t>Même appel</t>
        </is>
      </c>
      <c r="I54" s="14" t="n"/>
      <c r="J54" s="14" t="n"/>
      <c r="K54" s="14" t="n"/>
      <c r="L54" s="14" t="n"/>
      <c r="M54" s="14" t="n"/>
      <c r="N54" s="14" t="n"/>
      <c r="O54" s="14" t="n"/>
    </row>
    <row r="55" ht="24" customHeight="1">
      <c r="A55" s="3" t="n">
        <v>46280</v>
      </c>
      <c r="B55" s="14" t="inlineStr">
        <is>
          <t>3 — 19:56</t>
        </is>
      </c>
      <c r="C55" s="14" t="inlineStr">
        <is>
          <t>Capture d'écran 2026-09-15 195641.png</t>
        </is>
      </c>
      <c r="H55" s="14" t="inlineStr">
        <is>
          <t>Relevé retenu</t>
        </is>
      </c>
      <c r="I55" s="14" t="n"/>
      <c r="J55" s="14" t="n"/>
      <c r="K55" s="14" t="n"/>
      <c r="L55" s="14" t="n"/>
      <c r="M55" s="14" t="n"/>
      <c r="N55" s="14" t="n"/>
      <c r="O55" s="14" t="n"/>
    </row>
    <row r="56" ht="24" customHeight="1">
      <c r="A56" s="3" t="n">
        <v>46280</v>
      </c>
      <c r="B56" s="14" t="inlineStr">
        <is>
          <t>3 — 19:56</t>
        </is>
      </c>
      <c r="C56" s="14" t="inlineStr">
        <is>
          <t>presence 15092026 - 2.png</t>
        </is>
      </c>
      <c r="H56" s="14" t="inlineStr">
        <is>
          <t>Même appel</t>
        </is>
      </c>
      <c r="I56" s="14" t="n"/>
      <c r="J56" s="14" t="n"/>
      <c r="K56" s="14" t="n"/>
      <c r="L56" s="14" t="n"/>
      <c r="M56" s="14" t="n"/>
      <c r="N56" s="14" t="n"/>
      <c r="O56" s="14" t="n"/>
    </row>
    <row r="57" ht="24" customHeight="1">
      <c r="A57" s="3" t="n">
        <v>46284</v>
      </c>
      <c r="B57" s="14" t="inlineStr">
        <is>
          <t>1 — 08:32</t>
        </is>
      </c>
      <c r="C57" s="14" t="inlineStr">
        <is>
          <t>Capture d'écran 2026-09-19 083257.png</t>
        </is>
      </c>
      <c r="H57" s="14" t="inlineStr">
        <is>
          <t>Relevé retenu</t>
        </is>
      </c>
      <c r="I57" s="14" t="n"/>
      <c r="J57" s="14" t="n"/>
      <c r="K57" s="14" t="n"/>
      <c r="L57" s="14" t="n"/>
      <c r="M57" s="14" t="n"/>
      <c r="N57" s="14" t="n"/>
      <c r="O57" s="14" t="n"/>
    </row>
    <row r="58" ht="24" customHeight="1">
      <c r="A58" s="3" t="n">
        <v>46284</v>
      </c>
      <c r="B58" s="14" t="inlineStr">
        <is>
          <t>1 — 08:32</t>
        </is>
      </c>
      <c r="C58" s="14" t="inlineStr">
        <is>
          <t>presence 19092026 - 1.png</t>
        </is>
      </c>
      <c r="H58" s="14" t="inlineStr">
        <is>
          <t>Même appel</t>
        </is>
      </c>
      <c r="I58" s="14" t="n"/>
      <c r="J58" s="14" t="n"/>
      <c r="K58" s="14" t="n"/>
      <c r="L58" s="14" t="n"/>
      <c r="M58" s="14" t="n"/>
      <c r="N58" s="14" t="n"/>
      <c r="O58" s="14" t="n"/>
    </row>
    <row r="59" ht="24" customHeight="1">
      <c r="A59" s="3" t="n">
        <v>46284</v>
      </c>
      <c r="B59" s="14" t="inlineStr">
        <is>
          <t>2 — 12:03</t>
        </is>
      </c>
      <c r="C59" s="14" t="inlineStr">
        <is>
          <t>Capture d'écran 2026-09-19 120333.png</t>
        </is>
      </c>
      <c r="H59" s="14" t="inlineStr">
        <is>
          <t>Relevé retenu</t>
        </is>
      </c>
      <c r="I59" s="14" t="n"/>
      <c r="J59" s="14" t="n"/>
      <c r="K59" s="14" t="n"/>
      <c r="L59" s="14" t="n"/>
      <c r="M59" s="14" t="n"/>
      <c r="N59" s="14" t="n"/>
      <c r="O59" s="14" t="n"/>
    </row>
    <row r="60" ht="24" customHeight="1">
      <c r="A60" s="3" t="n">
        <v>46284</v>
      </c>
      <c r="B60" s="14" t="inlineStr">
        <is>
          <t>2 — 12:03</t>
        </is>
      </c>
      <c r="C60" s="14" t="inlineStr">
        <is>
          <t>presence 19092026 - .png</t>
        </is>
      </c>
      <c r="H60" s="14" t="inlineStr">
        <is>
          <t>Même appel</t>
        </is>
      </c>
      <c r="I60" s="14" t="n"/>
      <c r="J60" s="14" t="n"/>
      <c r="K60" s="14" t="n"/>
      <c r="L60" s="14" t="n"/>
      <c r="M60" s="14" t="n"/>
      <c r="N60" s="14" t="n"/>
      <c r="O60" s="14" t="n"/>
    </row>
    <row r="61" ht="24" customHeight="1">
      <c r="A61" s="3" t="n">
        <v>46286</v>
      </c>
      <c r="B61" s="14" t="inlineStr">
        <is>
          <t>1 à 19:44</t>
        </is>
      </c>
      <c r="C61" s="14" t="inlineStr">
        <is>
          <t>Capture d'écran 2026-09-21 194453.png</t>
        </is>
      </c>
      <c r="H61" s="14" t="inlineStr">
        <is>
          <t>Relevé retenu</t>
        </is>
      </c>
      <c r="I61" s="14" t="n"/>
      <c r="J61" s="14" t="n"/>
      <c r="K61" s="14" t="n"/>
      <c r="L61" s="14" t="n"/>
      <c r="M61" s="14" t="n"/>
      <c r="N61" s="14" t="n"/>
      <c r="O61" s="14" t="n"/>
    </row>
    <row r="62" ht="24" customHeight="1">
      <c r="A62" s="3" t="n">
        <v>46287</v>
      </c>
      <c r="B62" s="14" t="inlineStr">
        <is>
          <t>1 à 18:22</t>
        </is>
      </c>
      <c r="C62" s="14" t="inlineStr">
        <is>
          <t>Capture d'écran 2026-09-22 182251.png</t>
        </is>
      </c>
      <c r="D62" s="14" t="n"/>
      <c r="E62" s="14" t="n"/>
      <c r="F62" s="14" t="n"/>
      <c r="G62" s="14" t="n"/>
      <c r="H62" s="14" t="inlineStr">
        <is>
          <t>Relevé retenu</t>
        </is>
      </c>
      <c r="I62" s="14" t="n"/>
      <c r="J62" s="14" t="n"/>
      <c r="K62" s="14" t="n"/>
      <c r="L62" s="14" t="n"/>
      <c r="M62" s="14" t="n"/>
      <c r="N62" s="14" t="n"/>
      <c r="O62" s="14" t="n"/>
    </row>
    <row r="63" ht="24" customHeight="1">
      <c r="A63" s="3" t="n">
        <v>46278</v>
      </c>
      <c r="B63" s="14" t="inlineStr">
        <is>
          <t>Hors réunion</t>
        </is>
      </c>
      <c r="C63" s="14" t="inlineStr">
        <is>
          <t>Capture d'écran 2026-09-13 232311.png</t>
        </is>
      </c>
      <c r="D63" s="14" t="n"/>
      <c r="E63" s="14" t="n"/>
      <c r="F63" s="14" t="n"/>
      <c r="G63" s="14" t="n"/>
      <c r="H63" s="14" t="inlineStr">
        <is>
          <t>Écarté : workflow</t>
        </is>
      </c>
      <c r="I63" s="14" t="n"/>
      <c r="J63" s="14" t="n"/>
      <c r="K63" s="14" t="n"/>
      <c r="L63" s="14" t="n"/>
      <c r="M63" s="14" t="n"/>
      <c r="N63" s="14" t="n"/>
      <c r="O63" s="14" t="n"/>
    </row>
    <row r="64" ht="24" customHeight="1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</row>
    <row r="65" ht="24" customHeight="1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</row>
    <row r="66" ht="24" customHeight="1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</row>
    <row r="67" ht="24" customHeight="1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</row>
    <row r="68" ht="24" customHeight="1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</row>
    <row r="69" ht="24" customHeight="1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</row>
  </sheetData>
  <mergeCells count="33">
    <mergeCell ref="C49:G49"/>
    <mergeCell ref="C30:G30"/>
    <mergeCell ref="C34:G34"/>
    <mergeCell ref="C42:G42"/>
    <mergeCell ref="C58:G58"/>
    <mergeCell ref="C33:G33"/>
    <mergeCell ref="C45:G45"/>
    <mergeCell ref="C35:G35"/>
    <mergeCell ref="C47:G47"/>
    <mergeCell ref="C54:G54"/>
    <mergeCell ref="C50:G50"/>
    <mergeCell ref="C44:G44"/>
    <mergeCell ref="C41:G41"/>
    <mergeCell ref="C55:G55"/>
    <mergeCell ref="C31:G31"/>
    <mergeCell ref="C40:G40"/>
    <mergeCell ref="C56:G56"/>
    <mergeCell ref="C59:G59"/>
    <mergeCell ref="C43:G43"/>
    <mergeCell ref="C46:G46"/>
    <mergeCell ref="C60:G60"/>
    <mergeCell ref="H30:J30"/>
    <mergeCell ref="C51:G51"/>
    <mergeCell ref="C36:G36"/>
    <mergeCell ref="C61:G61"/>
    <mergeCell ref="C39:G39"/>
    <mergeCell ref="C52:G52"/>
    <mergeCell ref="C48:G48"/>
    <mergeCell ref="C32:G32"/>
    <mergeCell ref="C38:G38"/>
    <mergeCell ref="C57:G57"/>
    <mergeCell ref="C37:G37"/>
    <mergeCell ref="C53:G53"/>
  </mergeCells>
  <conditionalFormatting sqref="C8:O23">
    <cfRule type="cellIs" priority="1" operator="equal" dxfId="3">
      <formula>"P"</formula>
    </cfRule>
    <cfRule type="cellIs" priority="2" operator="equal" dxfId="2">
      <formula>"P*"</formula>
    </cfRule>
    <cfRule type="cellIs" priority="3" operator="equal" dxfId="1">
      <formula>"?"</formula>
    </cfRule>
    <cfRule type="cellIs" priority="4" operator="equal" dxfId="0">
      <formula>"NV"</formula>
    </cfRule>
  </conditionalFormatting>
  <dataValidations count="1">
    <dataValidation sqref="C8:O23" showDropDown="0" showInputMessage="0" showErrorMessage="0" allowBlank="0" type="list">
      <formula1>"P,P*,?,NV"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3.8"/>
  <cols>
    <col width="14" customWidth="1" min="1" max="1"/>
    <col width="48" customWidth="1" min="2" max="2"/>
    <col width="62" customWidth="1" min="3" max="3"/>
    <col width="72" customWidth="1" min="4" max="4"/>
  </cols>
  <sheetData>
    <row r="1" ht="24" customHeight="1">
      <c r="A1" s="14" t="n"/>
      <c r="B1" s="14" t="n"/>
      <c r="C1" s="14" t="n"/>
      <c r="D1" s="14" t="n"/>
    </row>
    <row r="2" ht="30" customHeight="1">
      <c r="A2" s="2" t="inlineStr">
        <is>
          <t>Correspondance des noms</t>
        </is>
      </c>
      <c r="B2" s="14" t="n"/>
      <c r="C2" s="14" t="n"/>
      <c r="D2" s="14" t="n"/>
    </row>
    <row r="3" ht="24" customHeight="1">
      <c r="A3" s="14" t="inlineStr">
        <is>
          <t>Référence : Contacts auditeurs LPRIGL (1).xlsx — Feuil1, lignes 7 à 22. Ordre et matricules conservés.</t>
        </is>
      </c>
      <c r="B3" s="14" t="n"/>
      <c r="C3" s="14" t="n"/>
      <c r="D3" s="14" t="n"/>
    </row>
    <row r="4" ht="24" customHeight="1">
      <c r="A4" s="14" t="inlineStr">
        <is>
          <t>Un nom court unique donne P*. Aucun rapprochement ne repose sur les seules initiales ou la photo de profil.</t>
        </is>
      </c>
      <c r="B4" s="14" t="n"/>
      <c r="C4" s="14" t="n"/>
      <c r="D4" s="14" t="n"/>
    </row>
    <row r="5" ht="24" customHeight="1">
      <c r="A5" s="14" t="n"/>
      <c r="B5" s="14" t="n"/>
      <c r="C5" s="14" t="n"/>
      <c r="D5" s="14" t="n"/>
    </row>
    <row r="6" ht="24" customHeight="1">
      <c r="A6" s="15" t="inlineStr">
        <is>
          <t>Matricule</t>
        </is>
      </c>
      <c r="B6" s="15" t="inlineStr">
        <is>
          <t>Nom dans le fichier Excel</t>
        </is>
      </c>
      <c r="C6" s="15" t="inlineStr">
        <is>
          <t>Noms affichés dans Teams</t>
        </is>
      </c>
      <c r="D6" s="15" t="inlineStr">
        <is>
          <t>Règle de rapprochement</t>
        </is>
      </c>
    </row>
    <row r="7" ht="66" customHeight="1">
      <c r="A7" s="8" t="inlineStr">
        <is>
          <t>33021</t>
        </is>
      </c>
      <c r="B7" s="8" t="inlineStr">
        <is>
          <t>AGBATO KARL VIANNEY EMMANUEL</t>
        </is>
      </c>
      <c r="C7" s="8" t="inlineStr">
        <is>
          <t>KARL VIANNEY AGBATO ; Karl Agbato ; karl</t>
        </is>
      </c>
      <c r="D7" s="8" t="inlineStr">
        <is>
          <t>Plusieurs éléments concordants ; « karl » seul est P*.</t>
        </is>
      </c>
    </row>
    <row r="8" ht="66" customHeight="1">
      <c r="A8" s="8" t="inlineStr">
        <is>
          <t>32260</t>
        </is>
      </c>
      <c r="B8" s="8" t="inlineStr">
        <is>
          <t>AKA AHOU GERVAISE NAOMI</t>
        </is>
      </c>
      <c r="C8" s="8" t="inlineStr">
        <is>
          <t>AHOU GERVAISE NAOMI AKA ; AHOU</t>
        </is>
      </c>
      <c r="D8" s="8" t="inlineStr">
        <is>
          <t>Nom et prénoms concordants ; « AHOU » seul est P*.</t>
        </is>
      </c>
    </row>
    <row r="9" ht="66" customHeight="1">
      <c r="A9" s="8" t="inlineStr">
        <is>
          <t>33055</t>
        </is>
      </c>
      <c r="B9" s="8" t="inlineStr">
        <is>
          <t>BAKARE MARIAM</t>
        </is>
      </c>
      <c r="C9" s="8" t="inlineStr">
        <is>
          <t>MARIAM ADEOLA BAKARE</t>
        </is>
      </c>
      <c r="D9" s="8" t="inlineStr">
        <is>
          <t>BAKARE et MARIAM concordent ; ADEOLA est un prénom supplémentaire.</t>
        </is>
      </c>
    </row>
    <row r="10" ht="66" customHeight="1">
      <c r="A10" s="8" t="inlineStr">
        <is>
          <t>33592</t>
        </is>
      </c>
      <c r="B10" s="8" t="inlineStr">
        <is>
          <t>BAMBA MOHAMED</t>
        </is>
      </c>
      <c r="C10" s="8" t="inlineStr">
        <is>
          <t>MOHAMED BAMBA</t>
        </is>
      </c>
      <c r="D10" s="8" t="inlineStr">
        <is>
          <t>Nom et prénom inversés.</t>
        </is>
      </c>
    </row>
    <row r="11" ht="66" customHeight="1">
      <c r="A11" s="8" t="inlineStr">
        <is>
          <t>32197</t>
        </is>
      </c>
      <c r="B11" s="8" t="inlineStr">
        <is>
          <t>BEKLOU HIEOUYA AUDE SAMIRAH</t>
        </is>
      </c>
      <c r="C11" s="8" t="inlineStr">
        <is>
          <t>HIEOUYA AUDE SAMIRAH BEKLOU</t>
        </is>
      </c>
      <c r="D11" s="8" t="inlineStr">
        <is>
          <t>Même nom et mêmes prénoms dans un ordre différent.</t>
        </is>
      </c>
    </row>
    <row r="12" ht="66" customHeight="1">
      <c r="A12" s="8" t="inlineStr">
        <is>
          <t>32688</t>
        </is>
      </c>
      <c r="B12" s="8" t="inlineStr">
        <is>
          <t>BESDALI YOHAN ARMSTRONG</t>
        </is>
      </c>
      <c r="C12" s="8" t="inlineStr">
        <is>
          <t>DJAMA YOHAN ARMSTRONG ELOHIM BESDALI ; Besdaaaaa</t>
        </is>
      </c>
      <c r="D12" s="8" t="inlineStr">
        <is>
          <t>BESDALI, YOHAN et ARMSTRONG concordent ; « Besdaaaaa » reste ?.</t>
        </is>
      </c>
    </row>
    <row r="13" ht="66" customHeight="1">
      <c r="A13" s="8" t="inlineStr">
        <is>
          <t>33036</t>
        </is>
      </c>
      <c r="B13" s="8" t="inlineStr">
        <is>
          <t>BOUNDY ASSETOU IBRAHIM</t>
        </is>
      </c>
      <c r="C13" s="8" t="inlineStr">
        <is>
          <t>ASSETOU IBRAHIM BOUNDY ; Assetou Boundy</t>
        </is>
      </c>
      <c r="D13" s="8" t="inlineStr">
        <is>
          <t>BOUNDY et ASSETOU concordent.</t>
        </is>
      </c>
    </row>
    <row r="14" ht="66" customHeight="1">
      <c r="A14" s="8" t="inlineStr">
        <is>
          <t>32365</t>
        </is>
      </c>
      <c r="B14" s="8" t="inlineStr">
        <is>
          <t>CAMARA OFFE KALPI ANGE-EMMANUEL</t>
        </is>
      </c>
      <c r="C14" s="8" t="inlineStr">
        <is>
          <t>OFFE KALPI ANGE-EMMANUEL CAMARA ; OFFE KALPI ANGE-EMMANUEL C... ; Ange-Emmanuel Camara</t>
        </is>
      </c>
      <c r="D14" s="8" t="inlineStr">
        <is>
          <t>Nom complet et plusieurs prénoms concordants, y compris dans la version tronquée.</t>
        </is>
      </c>
    </row>
    <row r="15" ht="66" customHeight="1">
      <c r="A15" s="8" t="inlineStr">
        <is>
          <t>32982</t>
        </is>
      </c>
      <c r="B15" s="8" t="inlineStr">
        <is>
          <t>COULIBALY ALIMA VALERIE</t>
        </is>
      </c>
      <c r="C15" s="8" t="inlineStr">
        <is>
          <t>COULIBALY HALIMA ; ALIMA ; COULIBALY ALIMA VALERIE ; COULIBALY ALIMAVALERIE ; COULIBALYALIMAVALERIE</t>
        </is>
      </c>
      <c r="D15" s="8" t="inlineStr">
        <is>
          <t>ALIMA/HALIMA est une variante orthographique avec COULIBALY ; « ALIMA » seul est P*.</t>
        </is>
      </c>
    </row>
    <row r="16" ht="66" customHeight="1">
      <c r="A16" s="8" t="inlineStr">
        <is>
          <t>33042</t>
        </is>
      </c>
      <c r="B16" s="8" t="inlineStr">
        <is>
          <t>COULIBALY KADIDIATOU</t>
        </is>
      </c>
      <c r="C16" s="8" t="inlineStr">
        <is>
          <t>KADIDIATOU COULIBALY</t>
        </is>
      </c>
      <c r="D16" s="8" t="inlineStr">
        <is>
          <t>Nom et prénom inversés.</t>
        </is>
      </c>
    </row>
    <row r="17" ht="66" customHeight="1">
      <c r="A17" s="8" t="inlineStr">
        <is>
          <t>33596</t>
        </is>
      </c>
      <c r="B17" s="8" t="inlineStr">
        <is>
          <t>DIAKITE MODIBO</t>
        </is>
      </c>
      <c r="C17" s="8" t="inlineStr">
        <is>
          <t>MODIBO DIAKITE</t>
        </is>
      </c>
      <c r="D17" s="8" t="inlineStr">
        <is>
          <t>Nom et prénom inversés.</t>
        </is>
      </c>
    </row>
    <row r="18" ht="66" customHeight="1">
      <c r="A18" s="8" t="inlineStr">
        <is>
          <t>33614</t>
        </is>
      </c>
      <c r="B18" s="8" t="inlineStr">
        <is>
          <t>GBLA TONGA ELIEL</t>
        </is>
      </c>
      <c r="C18" s="8" t="inlineStr">
        <is>
          <t>TONGA ELIEL GBLA ; Eliel Tonga</t>
        </is>
      </c>
      <c r="D18" s="8" t="inlineStr">
        <is>
          <t>TONGA et ELIEL concordent.</t>
        </is>
      </c>
    </row>
    <row r="19" ht="66" customHeight="1">
      <c r="A19" s="8" t="inlineStr">
        <is>
          <t>32945</t>
        </is>
      </c>
      <c r="B19" s="8" t="inlineStr">
        <is>
          <t>KACOU AYA AGNES EMMANUELLA LESLIE</t>
        </is>
      </c>
      <c r="C19" s="8" t="inlineStr">
        <is>
          <t>AYA AGNES E. LESLIE KACOU ; KACOU ; Leslie Agnes KACOU</t>
        </is>
      </c>
      <c r="D19" s="8" t="inlineStr">
        <is>
          <t>Plusieurs prénoms concordent ; « KACOU » seul est P*.</t>
        </is>
      </c>
    </row>
    <row r="20" ht="66" customHeight="1">
      <c r="A20" s="8" t="inlineStr">
        <is>
          <t>32965</t>
        </is>
      </c>
      <c r="B20" s="8" t="inlineStr">
        <is>
          <t>N'GUESSAN KAMLAN GUY</t>
        </is>
      </c>
      <c r="C20" s="8" t="inlineStr">
        <is>
          <t>KAMLAN GUY N'GUESSAN</t>
        </is>
      </c>
      <c r="D20" s="8" t="inlineStr">
        <is>
          <t>KAMLAN et GUY distinguent cet auditeur de MOAYE FABRICE.</t>
        </is>
      </c>
    </row>
    <row r="21" ht="66" customHeight="1">
      <c r="A21" s="8" t="inlineStr">
        <is>
          <t>32926</t>
        </is>
      </c>
      <c r="B21" s="8" t="inlineStr">
        <is>
          <t>N'GUESSAN MOAYE FABRICE</t>
        </is>
      </c>
      <c r="C21" s="8" t="inlineStr">
        <is>
          <t>Moaye Fabrice N’Guessan</t>
        </is>
      </c>
      <c r="D21" s="8" t="inlineStr">
        <is>
          <t>MOAYE et FABRICE distinguent cet auditeur de KAMLAN GUY.</t>
        </is>
      </c>
    </row>
    <row r="22" ht="66" customHeight="1">
      <c r="A22" s="8" t="inlineStr">
        <is>
          <t>32694</t>
        </is>
      </c>
      <c r="B22" s="8" t="inlineStr">
        <is>
          <t>SAKO LADJI LOSSENY</t>
        </is>
      </c>
      <c r="C22" s="8" t="inlineStr">
        <is>
          <t>LADJI LOSSENY SAKO ; Losseny Sako</t>
        </is>
      </c>
      <c r="D22" s="8" t="inlineStr">
        <is>
          <t>LOSSENY et SAKO concordent.</t>
        </is>
      </c>
    </row>
    <row r="23" ht="24" customHeight="1">
      <c r="A23" s="14" t="n"/>
      <c r="B23" s="14" t="n"/>
      <c r="C23" s="14" t="n"/>
      <c r="D23" s="14" t="n"/>
    </row>
    <row r="24" ht="24" customHeight="1">
      <c r="A24" s="14" t="inlineStr">
        <is>
          <t>P* correspond à une hypothèse explicite fondée sur un nom ou prénom unique parmi les 16 auditeurs.</t>
        </is>
      </c>
      <c r="B24" s="14" t="n"/>
      <c r="C24" s="14" t="n"/>
      <c r="D24" s="14" t="n"/>
    </row>
    <row r="25" ht="24" customHeight="1">
      <c r="A25" s="14" t="inlineStr">
        <is>
          <t>« Besdaaaaa » est trop éloigné du nom officiel pour être validé automatiquement. Il n’est compté ni en P ni en P*.</t>
        </is>
      </c>
      <c r="B25" s="14" t="n"/>
      <c r="C25" s="14" t="n"/>
      <c r="D25" s="14" t="n"/>
    </row>
    <row r="26" ht="24" customHeight="1">
      <c r="A26" s="14" t="n"/>
      <c r="B26" s="14" t="n"/>
      <c r="C26" s="14" t="n"/>
      <c r="D26" s="14" t="n"/>
    </row>
    <row r="27" ht="24" customHeight="1">
      <c r="A27" s="14" t="n"/>
      <c r="B27" s="14" t="n"/>
      <c r="C27" s="14" t="n"/>
      <c r="D27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BABA</dc:creator>
  <dcterms:created xmlns:dcterms="http://purl.org/dc/terms/" xmlns:xsi="http://www.w3.org/2001/XMLSchema-instance" xsi:type="dcterms:W3CDTF">2026-09-26T07:44:13Z</dcterms:created>
  <dcterms:modified xmlns:dcterms="http://purl.org/dc/terms/" xmlns:xsi="http://www.w3.org/2001/XMLSchema-instance" xsi:type="dcterms:W3CDTF">2026-09-26T07:44:13Z</dcterms:modified>
  <cp:lastModifiedBy>Baba KOUROUMA</cp:lastModifiedBy>
</cp:coreProperties>
</file>